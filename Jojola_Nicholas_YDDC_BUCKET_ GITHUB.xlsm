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8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holasjojola/Desktop/"/>
    </mc:Choice>
  </mc:AlternateContent>
  <xr:revisionPtr revIDLastSave="0" documentId="8_{E4F40133-813D-C645-BAC9-50EF836FE969}" xr6:coauthVersionLast="47" xr6:coauthVersionMax="47" xr10:uidLastSave="{00000000-0000-0000-0000-000000000000}"/>
  <bookViews>
    <workbookView xWindow="0" yWindow="500" windowWidth="35840" windowHeight="21260" activeTab="1" xr2:uid="{00000000-000D-0000-FFFF-FFFF00000000}"/>
  </bookViews>
  <sheets>
    <sheet name="MASTER" sheetId="3" r:id="rId1"/>
    <sheet name="BUCKET" sheetId="1" r:id="rId2"/>
    <sheet name="10-6" sheetId="2" state="hidden" r:id="rId3"/>
  </sheets>
  <definedNames>
    <definedName name="_xlnm._FilterDatabase" localSheetId="1" hidden="1">BUCKET!$A$1:$K$200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C4" i="3"/>
  <c r="C5" i="3"/>
  <c r="C6" i="3"/>
  <c r="C7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3" i="3"/>
  <c r="M2" i="3"/>
  <c r="I8" i="3"/>
  <c r="N2" i="3" l="1"/>
  <c r="P2" i="1"/>
  <c r="E2" i="3" l="1"/>
  <c r="J2" i="3"/>
  <c r="K2" i="3"/>
  <c r="I2" i="3"/>
  <c r="G2" i="3"/>
  <c r="H2" i="3"/>
  <c r="F2" i="3"/>
  <c r="Q2" i="1"/>
  <c r="H5" i="1" l="1"/>
  <c r="H9" i="1"/>
  <c r="H13" i="1"/>
  <c r="C13" i="1" s="1"/>
  <c r="H17" i="1"/>
  <c r="H21" i="1"/>
  <c r="H25" i="1"/>
  <c r="C25" i="1" s="1"/>
  <c r="H29" i="1"/>
  <c r="C29" i="1" s="1"/>
  <c r="H33" i="1"/>
  <c r="C33" i="1" s="1"/>
  <c r="H37" i="1"/>
  <c r="C37" i="1" s="1"/>
  <c r="H41" i="1"/>
  <c r="C41" i="1" s="1"/>
  <c r="H45" i="1"/>
  <c r="C45" i="1" s="1"/>
  <c r="H49" i="1"/>
  <c r="C49" i="1" s="1"/>
  <c r="H53" i="1"/>
  <c r="C53" i="1" s="1"/>
  <c r="H57" i="1"/>
  <c r="C57" i="1" s="1"/>
  <c r="H61" i="1"/>
  <c r="C61" i="1" s="1"/>
  <c r="H65" i="1"/>
  <c r="C65" i="1" s="1"/>
  <c r="H69" i="1"/>
  <c r="C69" i="1" s="1"/>
  <c r="H6" i="1"/>
  <c r="H10" i="1"/>
  <c r="H14" i="1"/>
  <c r="C14" i="1" s="1"/>
  <c r="H18" i="1"/>
  <c r="H22" i="1"/>
  <c r="C22" i="1" s="1"/>
  <c r="H26" i="1"/>
  <c r="C26" i="1" s="1"/>
  <c r="H30" i="1"/>
  <c r="C30" i="1" s="1"/>
  <c r="H34" i="1"/>
  <c r="C34" i="1" s="1"/>
  <c r="H38" i="1"/>
  <c r="C38" i="1" s="1"/>
  <c r="H42" i="1"/>
  <c r="C42" i="1" s="1"/>
  <c r="H46" i="1"/>
  <c r="C46" i="1" s="1"/>
  <c r="H50" i="1"/>
  <c r="C50" i="1" s="1"/>
  <c r="H54" i="1"/>
  <c r="C54" i="1" s="1"/>
  <c r="H58" i="1"/>
  <c r="C58" i="1" s="1"/>
  <c r="H62" i="1"/>
  <c r="C62" i="1" s="1"/>
  <c r="H66" i="1"/>
  <c r="C66" i="1" s="1"/>
  <c r="H70" i="1"/>
  <c r="C70" i="1" s="1"/>
  <c r="H7" i="1"/>
  <c r="C7" i="1" s="1"/>
  <c r="H15" i="1"/>
  <c r="C15" i="1" s="1"/>
  <c r="H23" i="1"/>
  <c r="C23" i="1" s="1"/>
  <c r="H31" i="1"/>
  <c r="C31" i="1" s="1"/>
  <c r="H39" i="1"/>
  <c r="C39" i="1" s="1"/>
  <c r="H47" i="1"/>
  <c r="C47" i="1" s="1"/>
  <c r="H55" i="1"/>
  <c r="C55" i="1" s="1"/>
  <c r="H63" i="1"/>
  <c r="C63" i="1" s="1"/>
  <c r="H71" i="1"/>
  <c r="C71" i="1" s="1"/>
  <c r="H8" i="1"/>
  <c r="C8" i="1" s="1"/>
  <c r="H16" i="1"/>
  <c r="C16" i="1" s="1"/>
  <c r="H24" i="1"/>
  <c r="C24" i="1" s="1"/>
  <c r="H32" i="1"/>
  <c r="C32" i="1" s="1"/>
  <c r="H40" i="1"/>
  <c r="C40" i="1" s="1"/>
  <c r="H48" i="1"/>
  <c r="C48" i="1" s="1"/>
  <c r="H56" i="1"/>
  <c r="C56" i="1" s="1"/>
  <c r="H64" i="1"/>
  <c r="C64" i="1" s="1"/>
  <c r="C5" i="1"/>
  <c r="H3" i="1"/>
  <c r="C3" i="1" s="1"/>
  <c r="H11" i="1"/>
  <c r="C11" i="1" s="1"/>
  <c r="H19" i="1"/>
  <c r="C19" i="1" s="1"/>
  <c r="H27" i="1"/>
  <c r="C27" i="1" s="1"/>
  <c r="H35" i="1"/>
  <c r="C35" i="1" s="1"/>
  <c r="H43" i="1"/>
  <c r="C43" i="1" s="1"/>
  <c r="H51" i="1"/>
  <c r="C51" i="1" s="1"/>
  <c r="H59" i="1"/>
  <c r="C59" i="1" s="1"/>
  <c r="H67" i="1"/>
  <c r="C67" i="1" s="1"/>
  <c r="H4" i="1"/>
  <c r="C4" i="1" s="1"/>
  <c r="H12" i="1"/>
  <c r="C12" i="1" s="1"/>
  <c r="H20" i="1"/>
  <c r="C20" i="1" s="1"/>
  <c r="H28" i="1"/>
  <c r="C28" i="1" s="1"/>
  <c r="H36" i="1"/>
  <c r="C36" i="1" s="1"/>
  <c r="H44" i="1"/>
  <c r="C44" i="1" s="1"/>
  <c r="H52" i="1"/>
  <c r="C52" i="1" s="1"/>
  <c r="H60" i="1"/>
  <c r="C60" i="1" s="1"/>
  <c r="H68" i="1"/>
  <c r="C68" i="1" s="1"/>
  <c r="H2" i="1"/>
  <c r="G2" i="1" s="1"/>
  <c r="C9" i="1"/>
  <c r="C17" i="1"/>
  <c r="C21" i="1"/>
  <c r="C6" i="1"/>
  <c r="C18" i="1"/>
  <c r="I13" i="1"/>
  <c r="G10" i="1" l="1"/>
  <c r="C2" i="1"/>
  <c r="G54" i="1"/>
  <c r="J54" i="1" s="1"/>
  <c r="G11" i="1"/>
  <c r="J11" i="1" s="1"/>
  <c r="L81" i="1"/>
  <c r="G14" i="1"/>
  <c r="J14" i="1" s="1"/>
  <c r="L14" i="1" s="1"/>
  <c r="N112" i="1"/>
  <c r="N167" i="1"/>
  <c r="L123" i="1"/>
  <c r="G49" i="1"/>
  <c r="J49" i="1" s="1"/>
  <c r="L192" i="1"/>
  <c r="G46" i="1"/>
  <c r="J46" i="1" s="1"/>
  <c r="G17" i="1"/>
  <c r="J17" i="1" s="1"/>
  <c r="N86" i="1"/>
  <c r="L176" i="1"/>
  <c r="G48" i="1"/>
  <c r="J48" i="1" s="1"/>
  <c r="N48" i="1" s="1"/>
  <c r="N191" i="1"/>
  <c r="G43" i="1"/>
  <c r="J43" i="1" s="1"/>
  <c r="G18" i="1"/>
  <c r="J18" i="1" s="1"/>
  <c r="G50" i="1"/>
  <c r="J50" i="1" s="1"/>
  <c r="N144" i="1"/>
  <c r="G16" i="1"/>
  <c r="J16" i="1" s="1"/>
  <c r="G23" i="1"/>
  <c r="J23" i="1" s="1"/>
  <c r="N139" i="1"/>
  <c r="L151" i="1"/>
  <c r="L175" i="1"/>
  <c r="G67" i="1"/>
  <c r="J67" i="1" s="1"/>
  <c r="G35" i="1"/>
  <c r="J35" i="1" s="1"/>
  <c r="N198" i="1"/>
  <c r="N106" i="1"/>
  <c r="N74" i="1"/>
  <c r="N173" i="1"/>
  <c r="N157" i="1"/>
  <c r="N141" i="1"/>
  <c r="N109" i="1"/>
  <c r="N93" i="1"/>
  <c r="G61" i="1"/>
  <c r="J61" i="1" s="1"/>
  <c r="G45" i="1"/>
  <c r="J45" i="1" s="1"/>
  <c r="G29" i="1"/>
  <c r="J29" i="1" s="1"/>
  <c r="G13" i="1"/>
  <c r="J13" i="1" s="1"/>
  <c r="G47" i="1"/>
  <c r="J47" i="1" s="1"/>
  <c r="G15" i="1"/>
  <c r="J15" i="1" s="1"/>
  <c r="N146" i="1"/>
  <c r="N110" i="1"/>
  <c r="G42" i="1"/>
  <c r="J42" i="1" s="1"/>
  <c r="N188" i="1"/>
  <c r="N156" i="1"/>
  <c r="N76" i="1"/>
  <c r="G60" i="1"/>
  <c r="J60" i="1" s="1"/>
  <c r="G44" i="1"/>
  <c r="J44" i="1" s="1"/>
  <c r="G28" i="1"/>
  <c r="J28" i="1" s="1"/>
  <c r="G12" i="1"/>
  <c r="J12" i="1" s="1"/>
  <c r="G26" i="1"/>
  <c r="J26" i="1" s="1"/>
  <c r="G65" i="1"/>
  <c r="J65" i="1" s="1"/>
  <c r="L154" i="1"/>
  <c r="N160" i="1"/>
  <c r="G64" i="1"/>
  <c r="J64" i="1" s="1"/>
  <c r="G32" i="1"/>
  <c r="J32" i="1" s="1"/>
  <c r="N199" i="1"/>
  <c r="N135" i="1"/>
  <c r="G59" i="1"/>
  <c r="J59" i="1" s="1"/>
  <c r="L59" i="1" s="1"/>
  <c r="G27" i="1"/>
  <c r="J27" i="1" s="1"/>
  <c r="M158" i="1"/>
  <c r="N98" i="1"/>
  <c r="G66" i="1"/>
  <c r="J66" i="1" s="1"/>
  <c r="G38" i="1"/>
  <c r="J38" i="1" s="1"/>
  <c r="G6" i="1"/>
  <c r="J6" i="1" s="1"/>
  <c r="N137" i="1"/>
  <c r="N105" i="1"/>
  <c r="N73" i="1"/>
  <c r="G57" i="1"/>
  <c r="J57" i="1" s="1"/>
  <c r="G41" i="1"/>
  <c r="J41" i="1" s="1"/>
  <c r="G25" i="1"/>
  <c r="J25" i="1" s="1"/>
  <c r="G9" i="1"/>
  <c r="J9" i="1" s="1"/>
  <c r="G71" i="1"/>
  <c r="J71" i="1" s="1"/>
  <c r="G39" i="1"/>
  <c r="J39" i="1" s="1"/>
  <c r="G7" i="1"/>
  <c r="J7" i="1" s="1"/>
  <c r="N170" i="1"/>
  <c r="N102" i="1"/>
  <c r="G70" i="1"/>
  <c r="J70" i="1" s="1"/>
  <c r="G30" i="1"/>
  <c r="J30" i="1" s="1"/>
  <c r="N200" i="1"/>
  <c r="N184" i="1"/>
  <c r="N168" i="1"/>
  <c r="L152" i="1"/>
  <c r="N104" i="1"/>
  <c r="L88" i="1"/>
  <c r="G5" i="1"/>
  <c r="J5" i="1" s="1"/>
  <c r="G56" i="1"/>
  <c r="J56" i="1" s="1"/>
  <c r="L56" i="1" s="1"/>
  <c r="G40" i="1"/>
  <c r="J40" i="1" s="1"/>
  <c r="G24" i="1"/>
  <c r="J24" i="1" s="1"/>
  <c r="N24" i="1" s="1"/>
  <c r="G8" i="1"/>
  <c r="J8" i="1" s="1"/>
  <c r="G33" i="1"/>
  <c r="J33" i="1" s="1"/>
  <c r="G55" i="1"/>
  <c r="J55" i="1" s="1"/>
  <c r="N183" i="1"/>
  <c r="L119" i="1"/>
  <c r="N143" i="1"/>
  <c r="N79" i="1"/>
  <c r="G51" i="1"/>
  <c r="J51" i="1" s="1"/>
  <c r="G19" i="1"/>
  <c r="J19" i="1" s="1"/>
  <c r="M178" i="1"/>
  <c r="G58" i="1"/>
  <c r="J58" i="1" s="1"/>
  <c r="G34" i="1"/>
  <c r="J34" i="1" s="1"/>
  <c r="L197" i="1"/>
  <c r="L181" i="1"/>
  <c r="L165" i="1"/>
  <c r="L149" i="1"/>
  <c r="L133" i="1"/>
  <c r="L101" i="1"/>
  <c r="L85" i="1"/>
  <c r="G69" i="1"/>
  <c r="J69" i="1" s="1"/>
  <c r="G53" i="1"/>
  <c r="J53" i="1" s="1"/>
  <c r="M53" i="1" s="1"/>
  <c r="G37" i="1"/>
  <c r="J37" i="1" s="1"/>
  <c r="G21" i="1"/>
  <c r="J21" i="1" s="1"/>
  <c r="G4" i="1"/>
  <c r="J4" i="1" s="1"/>
  <c r="G63" i="1"/>
  <c r="J63" i="1" s="1"/>
  <c r="G31" i="1"/>
  <c r="J31" i="1" s="1"/>
  <c r="N162" i="1"/>
  <c r="L126" i="1"/>
  <c r="L94" i="1"/>
  <c r="G62" i="1"/>
  <c r="J62" i="1" s="1"/>
  <c r="G22" i="1"/>
  <c r="J22" i="1" s="1"/>
  <c r="N180" i="1"/>
  <c r="N164" i="1"/>
  <c r="N148" i="1"/>
  <c r="N116" i="1"/>
  <c r="G68" i="1"/>
  <c r="J68" i="1" s="1"/>
  <c r="G52" i="1"/>
  <c r="J52" i="1" s="1"/>
  <c r="G36" i="1"/>
  <c r="J36" i="1" s="1"/>
  <c r="G20" i="1"/>
  <c r="J20" i="1" s="1"/>
  <c r="G3" i="1"/>
  <c r="J3" i="1" s="1"/>
  <c r="C10" i="1"/>
  <c r="J10" i="1"/>
  <c r="J2" i="1"/>
  <c r="N2" i="1" s="1"/>
  <c r="T12" i="1"/>
  <c r="T24" i="1"/>
  <c r="T36" i="1"/>
  <c r="N40" i="1" l="1"/>
  <c r="M28" i="1"/>
  <c r="L51" i="1"/>
  <c r="L64" i="1"/>
  <c r="M47" i="1"/>
  <c r="L4" i="1"/>
  <c r="N43" i="1"/>
  <c r="L128" i="1"/>
  <c r="L99" i="1"/>
  <c r="N136" i="1"/>
  <c r="L27" i="1"/>
  <c r="N107" i="1"/>
  <c r="M78" i="1"/>
  <c r="N186" i="1"/>
  <c r="N189" i="1"/>
  <c r="L145" i="1"/>
  <c r="L193" i="1"/>
  <c r="M130" i="1"/>
  <c r="N12" i="1"/>
  <c r="N182" i="1"/>
  <c r="L97" i="1"/>
  <c r="L46" i="1"/>
  <c r="L177" i="1"/>
  <c r="N142" i="1"/>
  <c r="L155" i="1"/>
  <c r="N3" i="1"/>
  <c r="N89" i="1"/>
  <c r="N75" i="1"/>
  <c r="N118" i="1"/>
  <c r="M42" i="1"/>
  <c r="L171" i="1"/>
  <c r="N187" i="1"/>
  <c r="N95" i="1"/>
  <c r="M83" i="1"/>
  <c r="N147" i="1"/>
  <c r="L194" i="1"/>
  <c r="N121" i="1"/>
  <c r="L50" i="1"/>
  <c r="M80" i="1"/>
  <c r="L82" i="1"/>
  <c r="N69" i="1"/>
  <c r="N5" i="1"/>
  <c r="L5" i="1"/>
  <c r="M5" i="1"/>
  <c r="L55" i="1"/>
  <c r="N115" i="1"/>
  <c r="L92" i="1"/>
  <c r="L91" i="1"/>
  <c r="L127" i="1"/>
  <c r="N153" i="1"/>
  <c r="L179" i="1"/>
  <c r="N108" i="1"/>
  <c r="N84" i="1"/>
  <c r="L129" i="1"/>
  <c r="L18" i="1"/>
  <c r="L161" i="1"/>
  <c r="N190" i="1"/>
  <c r="N122" i="1"/>
  <c r="L150" i="1"/>
  <c r="N185" i="1"/>
  <c r="N140" i="1"/>
  <c r="N77" i="1"/>
  <c r="N111" i="1"/>
  <c r="L114" i="1"/>
  <c r="L174" i="1"/>
  <c r="N65" i="1"/>
  <c r="N17" i="1"/>
  <c r="N22" i="1"/>
  <c r="L19" i="1"/>
  <c r="L57" i="1"/>
  <c r="M15" i="1"/>
  <c r="M44" i="1"/>
  <c r="N16" i="1"/>
  <c r="N38" i="1"/>
  <c r="N60" i="1"/>
  <c r="L54" i="1"/>
  <c r="M52" i="1"/>
  <c r="N58" i="1"/>
  <c r="N29" i="1"/>
  <c r="M35" i="1"/>
  <c r="N39" i="1"/>
  <c r="L20" i="1"/>
  <c r="L63" i="1"/>
  <c r="N45" i="1"/>
  <c r="L49" i="1"/>
  <c r="L28" i="1"/>
  <c r="M98" i="1"/>
  <c r="L98" i="1"/>
  <c r="M79" i="1"/>
  <c r="M171" i="1"/>
  <c r="M127" i="1"/>
  <c r="M60" i="1"/>
  <c r="M182" i="1"/>
  <c r="L182" i="1"/>
  <c r="N127" i="1"/>
  <c r="M92" i="1"/>
  <c r="L60" i="1"/>
  <c r="N171" i="1"/>
  <c r="M24" i="1"/>
  <c r="M55" i="1"/>
  <c r="N28" i="1"/>
  <c r="L24" i="1"/>
  <c r="N6" i="1"/>
  <c r="M177" i="1"/>
  <c r="M17" i="1"/>
  <c r="L156" i="1"/>
  <c r="L137" i="1"/>
  <c r="M193" i="1"/>
  <c r="N55" i="1"/>
  <c r="N114" i="1"/>
  <c r="N125" i="1"/>
  <c r="M125" i="1"/>
  <c r="M23" i="1"/>
  <c r="N23" i="1"/>
  <c r="N61" i="1"/>
  <c r="M61" i="1"/>
  <c r="L146" i="1"/>
  <c r="M115" i="1"/>
  <c r="L190" i="1"/>
  <c r="N46" i="1"/>
  <c r="L153" i="1"/>
  <c r="M22" i="1"/>
  <c r="M97" i="1"/>
  <c r="M117" i="1"/>
  <c r="N117" i="1"/>
  <c r="L131" i="1"/>
  <c r="N131" i="1"/>
  <c r="L120" i="1"/>
  <c r="N120" i="1"/>
  <c r="N169" i="1"/>
  <c r="L169" i="1"/>
  <c r="N103" i="1"/>
  <c r="M103" i="1"/>
  <c r="N124" i="1"/>
  <c r="L124" i="1"/>
  <c r="M124" i="1"/>
  <c r="N166" i="1"/>
  <c r="L166" i="1"/>
  <c r="L195" i="1"/>
  <c r="N195" i="1"/>
  <c r="L113" i="1"/>
  <c r="N113" i="1"/>
  <c r="M113" i="1"/>
  <c r="M118" i="1"/>
  <c r="M106" i="1"/>
  <c r="L17" i="1"/>
  <c r="L144" i="1"/>
  <c r="L118" i="1"/>
  <c r="L16" i="1"/>
  <c r="M143" i="1"/>
  <c r="L186" i="1"/>
  <c r="M156" i="1"/>
  <c r="L23" i="1"/>
  <c r="L73" i="1"/>
  <c r="L173" i="1"/>
  <c r="N56" i="1"/>
  <c r="N175" i="1"/>
  <c r="M96" i="1"/>
  <c r="N96" i="1"/>
  <c r="N193" i="1"/>
  <c r="N177" i="1"/>
  <c r="L36" i="1"/>
  <c r="M36" i="1"/>
  <c r="L196" i="1"/>
  <c r="N196" i="1"/>
  <c r="N7" i="1"/>
  <c r="L7" i="1"/>
  <c r="M7" i="1"/>
  <c r="L87" i="1"/>
  <c r="M87" i="1"/>
  <c r="L172" i="1"/>
  <c r="N172" i="1"/>
  <c r="M172" i="1"/>
  <c r="N134" i="1"/>
  <c r="L134" i="1"/>
  <c r="M134" i="1"/>
  <c r="N67" i="1"/>
  <c r="M67" i="1"/>
  <c r="N25" i="1"/>
  <c r="M25" i="1"/>
  <c r="N132" i="1"/>
  <c r="M132" i="1"/>
  <c r="N90" i="1"/>
  <c r="L90" i="1"/>
  <c r="L26" i="1"/>
  <c r="N26" i="1"/>
  <c r="M26" i="1"/>
  <c r="N100" i="1"/>
  <c r="L100" i="1"/>
  <c r="M100" i="1"/>
  <c r="L62" i="1"/>
  <c r="M62" i="1"/>
  <c r="N163" i="1"/>
  <c r="M163" i="1"/>
  <c r="N138" i="1"/>
  <c r="L138" i="1"/>
  <c r="N159" i="1"/>
  <c r="L159" i="1"/>
  <c r="L96" i="1"/>
  <c r="M155" i="1"/>
  <c r="M153" i="1"/>
  <c r="L115" i="1"/>
  <c r="L125" i="1"/>
  <c r="L168" i="1"/>
  <c r="L147" i="1"/>
  <c r="M131" i="1"/>
  <c r="M86" i="1"/>
  <c r="M166" i="1"/>
  <c r="L15" i="1"/>
  <c r="L79" i="1"/>
  <c r="N27" i="1"/>
  <c r="N80" i="1"/>
  <c r="N78" i="1"/>
  <c r="N35" i="1"/>
  <c r="L35" i="1"/>
  <c r="N36" i="1"/>
  <c r="L34" i="1"/>
  <c r="M93" i="1"/>
  <c r="L180" i="1"/>
  <c r="L86" i="1"/>
  <c r="N64" i="1"/>
  <c r="M151" i="1"/>
  <c r="L103" i="1"/>
  <c r="L143" i="1"/>
  <c r="M57" i="1"/>
  <c r="M20" i="1"/>
  <c r="L44" i="1"/>
  <c r="M173" i="1"/>
  <c r="L40" i="1"/>
  <c r="M56" i="1"/>
  <c r="L142" i="1"/>
  <c r="L30" i="1"/>
  <c r="M30" i="1"/>
  <c r="M64" i="1"/>
  <c r="M159" i="1"/>
  <c r="L132" i="1"/>
  <c r="M84" i="1"/>
  <c r="M120" i="1"/>
  <c r="N133" i="1"/>
  <c r="L110" i="1"/>
  <c r="N154" i="1"/>
  <c r="N181" i="1"/>
  <c r="L67" i="1"/>
  <c r="M108" i="1"/>
  <c r="M90" i="1"/>
  <c r="M154" i="1"/>
  <c r="M181" i="1"/>
  <c r="N44" i="1"/>
  <c r="L41" i="1"/>
  <c r="N41" i="1"/>
  <c r="L21" i="1"/>
  <c r="M21" i="1"/>
  <c r="L106" i="1"/>
  <c r="L42" i="1"/>
  <c r="M51" i="1"/>
  <c r="L22" i="1"/>
  <c r="M121" i="1"/>
  <c r="N176" i="1"/>
  <c r="N87" i="1"/>
  <c r="M14" i="1"/>
  <c r="M167" i="1"/>
  <c r="M183" i="1"/>
  <c r="M196" i="1"/>
  <c r="L121" i="1"/>
  <c r="M43" i="1"/>
  <c r="M175" i="1"/>
  <c r="N161" i="1"/>
  <c r="N150" i="1"/>
  <c r="M150" i="1"/>
  <c r="N14" i="1"/>
  <c r="N53" i="1"/>
  <c r="N151" i="1"/>
  <c r="N57" i="1"/>
  <c r="N51" i="1"/>
  <c r="N178" i="1"/>
  <c r="M101" i="1"/>
  <c r="L93" i="1"/>
  <c r="M4" i="1"/>
  <c r="M160" i="1"/>
  <c r="L105" i="1"/>
  <c r="M59" i="1"/>
  <c r="M38" i="1"/>
  <c r="L47" i="1"/>
  <c r="M180" i="1"/>
  <c r="L160" i="1"/>
  <c r="L140" i="1"/>
  <c r="M138" i="1"/>
  <c r="M18" i="1"/>
  <c r="L89" i="1"/>
  <c r="M164" i="1"/>
  <c r="M191" i="1"/>
  <c r="N97" i="1"/>
  <c r="N149" i="1"/>
  <c r="L95" i="1"/>
  <c r="N155" i="1"/>
  <c r="N101" i="1"/>
  <c r="L53" i="1"/>
  <c r="L37" i="1"/>
  <c r="M37" i="1"/>
  <c r="N37" i="1"/>
  <c r="L66" i="1"/>
  <c r="M66" i="1"/>
  <c r="M145" i="1"/>
  <c r="L38" i="1"/>
  <c r="M46" i="1"/>
  <c r="M102" i="1"/>
  <c r="M122" i="1"/>
  <c r="L183" i="1"/>
  <c r="M45" i="1"/>
  <c r="M152" i="1"/>
  <c r="M112" i="1"/>
  <c r="M74" i="1"/>
  <c r="M116" i="1"/>
  <c r="M107" i="1"/>
  <c r="M27" i="1"/>
  <c r="M91" i="1"/>
  <c r="N21" i="1"/>
  <c r="N62" i="1"/>
  <c r="N4" i="1"/>
  <c r="N119" i="1"/>
  <c r="N42" i="1"/>
  <c r="L83" i="1"/>
  <c r="M119" i="1"/>
  <c r="M188" i="1"/>
  <c r="M170" i="1"/>
  <c r="M197" i="1"/>
  <c r="L102" i="1"/>
  <c r="L122" i="1"/>
  <c r="L45" i="1"/>
  <c r="L112" i="1"/>
  <c r="L74" i="1"/>
  <c r="L116" i="1"/>
  <c r="L107" i="1"/>
  <c r="M48" i="1"/>
  <c r="M123" i="1"/>
  <c r="N91" i="1"/>
  <c r="N83" i="1"/>
  <c r="N152" i="1"/>
  <c r="M195" i="1"/>
  <c r="N192" i="1"/>
  <c r="M142" i="1"/>
  <c r="M73" i="1"/>
  <c r="M190" i="1"/>
  <c r="L188" i="1"/>
  <c r="L170" i="1"/>
  <c r="M133" i="1"/>
  <c r="M147" i="1"/>
  <c r="M192" i="1"/>
  <c r="M40" i="1"/>
  <c r="M89" i="1"/>
  <c r="L48" i="1"/>
  <c r="M114" i="1"/>
  <c r="N123" i="1"/>
  <c r="N145" i="1"/>
  <c r="N197" i="1"/>
  <c r="M184" i="1"/>
  <c r="L52" i="1"/>
  <c r="M176" i="1"/>
  <c r="L25" i="1"/>
  <c r="L61" i="1"/>
  <c r="L164" i="1"/>
  <c r="L43" i="1"/>
  <c r="N92" i="1"/>
  <c r="N128" i="1"/>
  <c r="L148" i="1"/>
  <c r="M135" i="1"/>
  <c r="M129" i="1"/>
  <c r="M54" i="1"/>
  <c r="M76" i="1"/>
  <c r="M128" i="1"/>
  <c r="N99" i="1"/>
  <c r="N88" i="1"/>
  <c r="N54" i="1"/>
  <c r="N20" i="1"/>
  <c r="M99" i="1"/>
  <c r="M165" i="1"/>
  <c r="M169" i="1"/>
  <c r="M109" i="1"/>
  <c r="M186" i="1"/>
  <c r="L135" i="1"/>
  <c r="M157" i="1"/>
  <c r="L76" i="1"/>
  <c r="M88" i="1"/>
  <c r="N129" i="1"/>
  <c r="N158" i="1"/>
  <c r="L108" i="1"/>
  <c r="L163" i="1"/>
  <c r="L167" i="1"/>
  <c r="M58" i="1"/>
  <c r="M185" i="1"/>
  <c r="L84" i="1"/>
  <c r="M41" i="1"/>
  <c r="M179" i="1"/>
  <c r="M139" i="1"/>
  <c r="M189" i="1"/>
  <c r="M50" i="1"/>
  <c r="N50" i="1"/>
  <c r="N94" i="1"/>
  <c r="N179" i="1"/>
  <c r="N49" i="1"/>
  <c r="N59" i="1"/>
  <c r="M194" i="1"/>
  <c r="N15" i="1"/>
  <c r="L58" i="1"/>
  <c r="L185" i="1"/>
  <c r="M110" i="1"/>
  <c r="M85" i="1"/>
  <c r="M126" i="1"/>
  <c r="L139" i="1"/>
  <c r="L189" i="1"/>
  <c r="N126" i="1"/>
  <c r="L80" i="1"/>
  <c r="M16" i="1"/>
  <c r="M140" i="1"/>
  <c r="M144" i="1"/>
  <c r="M94" i="1"/>
  <c r="N85" i="1"/>
  <c r="N194" i="1"/>
  <c r="M49" i="1"/>
  <c r="M81" i="1"/>
  <c r="M149" i="1"/>
  <c r="N18" i="1"/>
  <c r="N130" i="1"/>
  <c r="L78" i="1"/>
  <c r="L178" i="1"/>
  <c r="L31" i="1"/>
  <c r="L117" i="1"/>
  <c r="M65" i="1"/>
  <c r="M29" i="1"/>
  <c r="L130" i="1"/>
  <c r="N47" i="1"/>
  <c r="L65" i="1"/>
  <c r="M168" i="1"/>
  <c r="M82" i="1"/>
  <c r="M77" i="1"/>
  <c r="M105" i="1"/>
  <c r="L29" i="1"/>
  <c r="M95" i="1"/>
  <c r="N81" i="1"/>
  <c r="N82" i="1"/>
  <c r="L184" i="1"/>
  <c r="L109" i="1"/>
  <c r="M19" i="1"/>
  <c r="M63" i="1"/>
  <c r="L157" i="1"/>
  <c r="M39" i="1"/>
  <c r="N66" i="1"/>
  <c r="L158" i="1"/>
  <c r="N165" i="1"/>
  <c r="N19" i="1"/>
  <c r="L191" i="1"/>
  <c r="M141" i="1"/>
  <c r="M162" i="1"/>
  <c r="M111" i="1"/>
  <c r="M75" i="1"/>
  <c r="M146" i="1"/>
  <c r="M104" i="1"/>
  <c r="L39" i="1"/>
  <c r="N63" i="1"/>
  <c r="N52" i="1"/>
  <c r="L141" i="1"/>
  <c r="L162" i="1"/>
  <c r="M148" i="1"/>
  <c r="M137" i="1"/>
  <c r="L111" i="1"/>
  <c r="L75" i="1"/>
  <c r="L104" i="1"/>
  <c r="M174" i="1"/>
  <c r="M136" i="1"/>
  <c r="L77" i="1"/>
  <c r="M187" i="1"/>
  <c r="M161" i="1"/>
  <c r="N30" i="1"/>
  <c r="L136" i="1"/>
  <c r="L187" i="1"/>
  <c r="N174" i="1"/>
  <c r="L8" i="1"/>
  <c r="N68" i="1"/>
  <c r="N11" i="1"/>
  <c r="M68" i="1"/>
  <c r="M8" i="1"/>
  <c r="N31" i="1"/>
  <c r="N8" i="1"/>
  <c r="M31" i="1"/>
  <c r="L68" i="1"/>
  <c r="M11" i="1"/>
  <c r="M6" i="1"/>
  <c r="L70" i="1"/>
  <c r="M34" i="1"/>
  <c r="M13" i="1"/>
  <c r="L11" i="1"/>
  <c r="L6" i="1"/>
  <c r="L13" i="1"/>
  <c r="N70" i="1"/>
  <c r="N34" i="1"/>
  <c r="N72" i="1"/>
  <c r="M70" i="1"/>
  <c r="N13" i="1"/>
  <c r="L2" i="1"/>
  <c r="M2" i="1"/>
  <c r="M71" i="1"/>
  <c r="N71" i="1"/>
  <c r="M9" i="1"/>
  <c r="N9" i="1"/>
  <c r="M33" i="1"/>
  <c r="N33" i="1"/>
  <c r="M10" i="1"/>
  <c r="N10" i="1"/>
  <c r="M32" i="1"/>
  <c r="N32" i="1"/>
  <c r="L69" i="1"/>
  <c r="M69" i="1"/>
  <c r="L3" i="1"/>
  <c r="M3" i="1"/>
  <c r="L12" i="1"/>
  <c r="M12" i="1"/>
  <c r="L199" i="1"/>
  <c r="M199" i="1"/>
  <c r="L72" i="1"/>
  <c r="M72" i="1"/>
  <c r="L198" i="1"/>
  <c r="M198" i="1"/>
  <c r="L200" i="1"/>
  <c r="M200" i="1"/>
  <c r="L71" i="1"/>
  <c r="L33" i="1"/>
  <c r="L10" i="1"/>
  <c r="L32" i="1"/>
  <c r="L9" i="1"/>
  <c r="T35" i="1" a="1"/>
  <c r="T8" i="1" a="1"/>
  <c r="T16" i="1" a="1"/>
  <c r="T30" i="1" a="1"/>
  <c r="A1" i="2" l="1"/>
  <c r="T16" i="1"/>
  <c r="T30" i="1"/>
  <c r="T35" i="1"/>
  <c r="T8" i="1"/>
  <c r="T7" i="1" a="1"/>
  <c r="T26" i="1" a="1"/>
  <c r="T10" i="1" a="1"/>
  <c r="T19" i="1" a="1"/>
  <c r="T22" i="1" a="1"/>
  <c r="T2" i="1" a="1"/>
  <c r="T18" i="1" a="1"/>
  <c r="T20" i="1" a="1"/>
  <c r="T34" i="1" a="1"/>
  <c r="T14" i="1" a="1"/>
  <c r="T31" i="1" a="1"/>
  <c r="T11" i="1" a="1"/>
  <c r="T4" i="1" a="1"/>
  <c r="T29" i="1" a="1"/>
  <c r="T5" i="1" a="1"/>
  <c r="T6" i="1" a="1"/>
  <c r="T17" i="1" a="1"/>
  <c r="T27" i="1" a="1"/>
  <c r="T23" i="1" a="1"/>
  <c r="T28" i="1" a="1"/>
  <c r="T3" i="1" a="1"/>
  <c r="T15" i="1" a="1"/>
  <c r="T32" i="1" a="1"/>
  <c r="T33" i="1" a="1"/>
  <c r="T21" i="1" a="1"/>
  <c r="T9" i="1" a="1"/>
  <c r="T20" i="1" l="1"/>
  <c r="T22" i="1"/>
  <c r="T7" i="1"/>
  <c r="T15" i="1"/>
  <c r="T23" i="1"/>
  <c r="T2" i="1"/>
  <c r="T28" i="1"/>
  <c r="T4" i="1"/>
  <c r="T17" i="1"/>
  <c r="T18" i="1"/>
  <c r="T26" i="1"/>
  <c r="T14" i="1"/>
  <c r="T10" i="1"/>
  <c r="T33" i="1"/>
  <c r="T34" i="1"/>
  <c r="T31" i="1"/>
  <c r="T21" i="1"/>
  <c r="T27" i="1"/>
  <c r="T32" i="1"/>
  <c r="T11" i="1"/>
  <c r="T19" i="1"/>
  <c r="T29" i="1"/>
  <c r="T9" i="1"/>
  <c r="T3" i="1"/>
  <c r="T5" i="1"/>
  <c r="T6" i="1"/>
</calcChain>
</file>

<file path=xl/sharedStrings.xml><?xml version="1.0" encoding="utf-8"?>
<sst xmlns="http://schemas.openxmlformats.org/spreadsheetml/2006/main" count="480" uniqueCount="100">
  <si>
    <t>Staff</t>
  </si>
  <si>
    <t>Last Day OT</t>
  </si>
  <si>
    <t>Friday</t>
  </si>
  <si>
    <t>Monday</t>
  </si>
  <si>
    <t>Tuesday</t>
  </si>
  <si>
    <t>Wednesday</t>
  </si>
  <si>
    <t>Thursday</t>
  </si>
  <si>
    <t>Saturday</t>
  </si>
  <si>
    <t>Sunday</t>
  </si>
  <si>
    <t>Days Since last OT</t>
  </si>
  <si>
    <t>Last working day</t>
  </si>
  <si>
    <t>Shift</t>
  </si>
  <si>
    <t>2 to 10</t>
  </si>
  <si>
    <t>6 to 2</t>
  </si>
  <si>
    <t>OT before last</t>
  </si>
  <si>
    <t>2 OT in a Row</t>
  </si>
  <si>
    <t>10 to 6</t>
  </si>
  <si>
    <t>BUCKET</t>
  </si>
  <si>
    <t xml:space="preserve">10 to 6 </t>
  </si>
  <si>
    <t xml:space="preserve">TRUE </t>
  </si>
  <si>
    <t># on Shift</t>
  </si>
  <si>
    <t>Seniority</t>
  </si>
  <si>
    <t>Called in/ Time off/ Otherwise Ineligible</t>
  </si>
  <si>
    <t>weekend day 1</t>
  </si>
  <si>
    <t>weekend day 2</t>
  </si>
  <si>
    <t>Last OT Worked</t>
  </si>
  <si>
    <t>Ot before Last</t>
  </si>
  <si>
    <t xml:space="preserve">Day </t>
  </si>
  <si>
    <t>Todays Date</t>
  </si>
  <si>
    <t>Day of Week</t>
  </si>
  <si>
    <t>Day of the Week</t>
  </si>
  <si>
    <t>10 TO 6</t>
  </si>
  <si>
    <t>x</t>
  </si>
  <si>
    <t>2 TO TEN</t>
  </si>
  <si>
    <t>2 TO 10</t>
  </si>
  <si>
    <t>D</t>
  </si>
  <si>
    <t>Jamie Williams</t>
  </si>
  <si>
    <t>Shawn Taylor</t>
  </si>
  <si>
    <t>Riley Brown</t>
  </si>
  <si>
    <t>Taylor Miller</t>
  </si>
  <si>
    <t>Morgan Thomas</t>
  </si>
  <si>
    <t>Jordan Taylor</t>
  </si>
  <si>
    <t>Jordan Moore</t>
  </si>
  <si>
    <t>Peyton Johnson</t>
  </si>
  <si>
    <t>Morgan Anderson</t>
  </si>
  <si>
    <t>Alex Garcia</t>
  </si>
  <si>
    <t>Elliot White</t>
  </si>
  <si>
    <t>Sam Jackson</t>
  </si>
  <si>
    <t>Drew Brown</t>
  </si>
  <si>
    <t>Drew Garcia</t>
  </si>
  <si>
    <t>Skyler Thompson</t>
  </si>
  <si>
    <t>Sam Smith</t>
  </si>
  <si>
    <t>Chris Davis</t>
  </si>
  <si>
    <t>Cameron White</t>
  </si>
  <si>
    <t>Sam Moore</t>
  </si>
  <si>
    <t>Cameron Hernandez</t>
  </si>
  <si>
    <t>Alex Lopez</t>
  </si>
  <si>
    <t>Drew Williams</t>
  </si>
  <si>
    <t>Avery Jackson</t>
  </si>
  <si>
    <t>Quinn Jackson</t>
  </si>
  <si>
    <t>Peyton Thompson</t>
  </si>
  <si>
    <t>Cameron Jones</t>
  </si>
  <si>
    <t>Drew Martin</t>
  </si>
  <si>
    <t>Rowan Jones</t>
  </si>
  <si>
    <t>Taylor Anderson</t>
  </si>
  <si>
    <t>Peyton White</t>
  </si>
  <si>
    <t>Drew Jones</t>
  </si>
  <si>
    <t>Reese Martin</t>
  </si>
  <si>
    <t>Peyton Martin</t>
  </si>
  <si>
    <t>Casey Hernandez</t>
  </si>
  <si>
    <t>Rowan White</t>
  </si>
  <si>
    <t>Riley Jones</t>
  </si>
  <si>
    <t>Jamie Martin</t>
  </si>
  <si>
    <t>Drew White</t>
  </si>
  <si>
    <t>Quinn Miller</t>
  </si>
  <si>
    <t>Chris Anderson</t>
  </si>
  <si>
    <t>Skyler Johnson</t>
  </si>
  <si>
    <t>Jamie Wilson</t>
  </si>
  <si>
    <t>Riley Smith</t>
  </si>
  <si>
    <t>Alex Thomas</t>
  </si>
  <si>
    <t>Elliot Lopez</t>
  </si>
  <si>
    <t>Dakota Williams</t>
  </si>
  <si>
    <t>Drew Jackson</t>
  </si>
  <si>
    <t>Cameron Smith</t>
  </si>
  <si>
    <t>Sam Johnson</t>
  </si>
  <si>
    <t>Casey Jackson</t>
  </si>
  <si>
    <t>Shawn Williams</t>
  </si>
  <si>
    <t>Chris Johnson</t>
  </si>
  <si>
    <t>Alex Williams</t>
  </si>
  <si>
    <t>Jordan White</t>
  </si>
  <si>
    <t>Skyler Jones</t>
  </si>
  <si>
    <t>Dakota Jones</t>
  </si>
  <si>
    <t>Reese Lopez</t>
  </si>
  <si>
    <t>Riley Hernandez</t>
  </si>
  <si>
    <t>Jordan Johnson</t>
  </si>
  <si>
    <t>Drew Miller</t>
  </si>
  <si>
    <t>Drew Thompson</t>
  </si>
  <si>
    <t>Sam Brown</t>
  </si>
  <si>
    <t>Riley White</t>
  </si>
  <si>
    <t>Reese Jones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</si>
</sst>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A0101"/>
      <name val="Helvetica Neue"/>
      <family val="2"/>
    </font>
    <font>
      <sz val="19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1D2228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1" xfId="0" applyFill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left"/>
    </xf>
    <xf numFmtId="14" fontId="0" fillId="0" borderId="0" xfId="0" applyNumberFormat="1"/>
    <xf numFmtId="14" fontId="5" fillId="0" borderId="0" xfId="0" applyNumberFormat="1" applyFont="1"/>
    <xf numFmtId="0" fontId="5" fillId="0" borderId="0" xfId="0" applyFont="1"/>
    <xf numFmtId="16" fontId="0" fillId="0" borderId="0" xfId="0" applyNumberFormat="1"/>
    <xf numFmtId="0" fontId="4" fillId="0" borderId="0" xfId="0" applyFont="1"/>
    <xf numFmtId="0" fontId="6" fillId="0" borderId="0" xfId="0" applyFont="1"/>
    <xf numFmtId="0" fontId="0" fillId="4" borderId="0" xfId="0" applyFill="1"/>
    <xf numFmtId="0" fontId="0" fillId="4" borderId="2" xfId="0" applyFill="1" applyBorder="1"/>
    <xf numFmtId="0" fontId="0" fillId="4" borderId="3" xfId="0" applyFill="1" applyBorder="1"/>
    <xf numFmtId="0" fontId="0" fillId="3" borderId="7" xfId="0" applyFill="1" applyBorder="1"/>
    <xf numFmtId="0" fontId="2" fillId="2" borderId="8" xfId="0" applyFont="1" applyFill="1" applyBorder="1"/>
    <xf numFmtId="0" fontId="0" fillId="3" borderId="9" xfId="0" applyFill="1" applyBorder="1"/>
    <xf numFmtId="0" fontId="2" fillId="2" borderId="10" xfId="0" applyFont="1" applyFill="1" applyBorder="1"/>
    <xf numFmtId="0" fontId="0" fillId="3" borderId="11" xfId="0" applyFill="1" applyBorder="1"/>
    <xf numFmtId="0" fontId="2" fillId="2" borderId="12" xfId="0" applyFont="1" applyFill="1" applyBorder="1"/>
    <xf numFmtId="0" fontId="0" fillId="3" borderId="13" xfId="0" applyFill="1" applyBorder="1"/>
    <xf numFmtId="0" fontId="2" fillId="2" borderId="3" xfId="0" applyFont="1" applyFill="1" applyBorder="1"/>
    <xf numFmtId="16" fontId="2" fillId="2" borderId="3" xfId="0" applyNumberFormat="1" applyFont="1" applyFill="1" applyBorder="1"/>
    <xf numFmtId="0" fontId="0" fillId="2" borderId="0" xfId="0" applyFill="1"/>
    <xf numFmtId="14" fontId="0" fillId="2" borderId="0" xfId="0" applyNumberFormat="1" applyFill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14" fontId="0" fillId="3" borderId="2" xfId="0" applyNumberFormat="1" applyFill="1" applyBorder="1"/>
    <xf numFmtId="0" fontId="0" fillId="2" borderId="15" xfId="0" applyFill="1" applyBorder="1"/>
    <xf numFmtId="0" fontId="0" fillId="2" borderId="14" xfId="0" applyFill="1" applyBorder="1"/>
    <xf numFmtId="0" fontId="0" fillId="2" borderId="4" xfId="0" applyFill="1" applyBorder="1"/>
    <xf numFmtId="14" fontId="0" fillId="3" borderId="0" xfId="0" applyNumberFormat="1" applyFill="1"/>
    <xf numFmtId="0" fontId="0" fillId="2" borderId="17" xfId="0" applyFill="1" applyBorder="1"/>
    <xf numFmtId="0" fontId="0" fillId="2" borderId="5" xfId="0" applyFill="1" applyBorder="1"/>
    <xf numFmtId="14" fontId="0" fillId="3" borderId="5" xfId="0" applyNumberFormat="1" applyFill="1" applyBorder="1"/>
    <xf numFmtId="0" fontId="0" fillId="0" borderId="18" xfId="0" applyBorder="1"/>
    <xf numFmtId="14" fontId="0" fillId="2" borderId="1" xfId="0" applyNumberFormat="1" applyFill="1" applyBorder="1"/>
    <xf numFmtId="14" fontId="7" fillId="3" borderId="4" xfId="0" applyNumberFormat="1" applyFont="1" applyFill="1" applyBorder="1"/>
    <xf numFmtId="14" fontId="0" fillId="5" borderId="0" xfId="0" applyNumberFormat="1" applyFill="1"/>
    <xf numFmtId="0" fontId="0" fillId="5" borderId="0" xfId="0" applyFill="1"/>
    <xf numFmtId="0" fontId="0" fillId="2" borderId="8" xfId="0" applyFill="1" applyBorder="1"/>
    <xf numFmtId="0" fontId="0" fillId="2" borderId="19" xfId="0" applyFill="1" applyBorder="1"/>
    <xf numFmtId="0" fontId="0" fillId="2" borderId="6" xfId="0" applyFill="1" applyBorder="1"/>
    <xf numFmtId="0" fontId="0" fillId="2" borderId="10" xfId="0" applyFill="1" applyBorder="1"/>
    <xf numFmtId="0" fontId="0" fillId="2" borderId="12" xfId="0" applyFill="1" applyBorder="1"/>
    <xf numFmtId="0" fontId="9" fillId="0" borderId="0" xfId="0" applyFont="1"/>
    <xf numFmtId="16" fontId="6" fillId="0" borderId="16" xfId="0" applyNumberFormat="1" applyFont="1" applyBorder="1"/>
    <xf numFmtId="0" fontId="6" fillId="0" borderId="16" xfId="0" applyFont="1" applyBorder="1"/>
    <xf numFmtId="14" fontId="6" fillId="0" borderId="16" xfId="0" applyNumberFormat="1" applyFont="1" applyBorder="1"/>
    <xf numFmtId="14" fontId="6" fillId="0" borderId="0" xfId="0" applyNumberFormat="1" applyFont="1"/>
    <xf numFmtId="0" fontId="10" fillId="0" borderId="0" xfId="0" applyFont="1"/>
    <xf numFmtId="0" fontId="0" fillId="6" borderId="0" xfId="0" applyFill="1"/>
    <xf numFmtId="0" fontId="0" fillId="2" borderId="1" xfId="0" applyFill="1" applyBorder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340507</xdr:colOff>
      <xdr:row>7</xdr:row>
      <xdr:rowOff>92029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E9D41F6-3C7A-B344-9B80-C1DFA50FBEF0}"/>
            </a:ext>
          </a:extLst>
        </xdr:cNvPr>
        <xdr:cNvSpPr txBox="1"/>
      </xdr:nvSpPr>
      <xdr:spPr>
        <a:xfrm>
          <a:off x="24277246" y="167492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25400</xdr:rowOff>
        </xdr:from>
        <xdr:to>
          <xdr:col>24</xdr:col>
          <xdr:colOff>520700</xdr:colOff>
          <xdr:row>12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BUCKET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</xdr:row>
          <xdr:rowOff>38100</xdr:rowOff>
        </xdr:from>
        <xdr:to>
          <xdr:col>24</xdr:col>
          <xdr:colOff>482600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DATA ENTRY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72"/>
  <sheetViews>
    <sheetView zoomScale="158" workbookViewId="0">
      <selection activeCell="M58" sqref="M58"/>
    </sheetView>
  </sheetViews>
  <sheetFormatPr baseColWidth="10" defaultColWidth="11.5" defaultRowHeight="15" x14ac:dyDescent="0.2"/>
  <cols>
    <col min="2" max="2" width="21.5" bestFit="1" customWidth="1"/>
    <col min="3" max="3" width="11.6640625" bestFit="1" customWidth="1"/>
    <col min="4" max="4" width="14.83203125" bestFit="1" customWidth="1"/>
    <col min="5" max="8" width="11.1640625" hidden="1" customWidth="1"/>
    <col min="9" max="9" width="11.5" hidden="1" customWidth="1"/>
    <col min="10" max="10" width="11.1640625" hidden="1" customWidth="1"/>
    <col min="11" max="11" width="14.1640625" hidden="1" customWidth="1"/>
    <col min="14" max="14" width="15.6640625" bestFit="1" customWidth="1"/>
  </cols>
  <sheetData>
    <row r="1" spans="1:14" ht="16" thickBot="1" x14ac:dyDescent="0.25">
      <c r="A1" s="23"/>
      <c r="B1" s="23"/>
      <c r="C1" s="23"/>
      <c r="D1" s="23" t="s">
        <v>27</v>
      </c>
      <c r="E1" s="24" t="s">
        <v>7</v>
      </c>
      <c r="F1" s="24" t="s">
        <v>8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2</v>
      </c>
      <c r="M1" s="24" t="s">
        <v>28</v>
      </c>
      <c r="N1" s="24" t="s">
        <v>30</v>
      </c>
    </row>
    <row r="2" spans="1:14" ht="16" thickBot="1" x14ac:dyDescent="0.25">
      <c r="A2" s="1" t="s">
        <v>21</v>
      </c>
      <c r="B2" s="1" t="s">
        <v>0</v>
      </c>
      <c r="C2" s="1" t="s">
        <v>26</v>
      </c>
      <c r="D2" s="33" t="s">
        <v>25</v>
      </c>
      <c r="E2" s="32">
        <f ca="1">IF($N$2="SATURDAY",$M$2,IF($N$2="SUNDAY",$M$2-1,IF($N$2="MONDAY",$M$2-2,IF($N$2="TUESDAY",$M$2-3,IF($N$2="WEDNESDAY",$M$2-4,IF($N$2="THURSDAY",$M$2-5,IF($N$2="FRIDAY",$M$2-6)))))))</f>
        <v>45906</v>
      </c>
      <c r="F2" s="32">
        <f ca="1">IF($N$2="SATURDAY",$M$2+1,IF($N$2="SUNDAY",$M$2,IF($N$2="MONDAY",$M$2-1,IF($N$2="TUESDAY",$M$2-2,IF($N$2="WEDNESDAY",$M$2-3,IF($N$2="THURSDAY",$M$2-4,IF($N$2="FRIDAY",$M$2-5)))))))</f>
        <v>45907</v>
      </c>
      <c r="G2" s="32">
        <f ca="1">IF($N$2="SATURDAY",$M$2+2,IF($N$2="SUNDAY",$M$2+1,IF($N$2="MONDAY",$M$2,IF($N$2="TUESDAY",$M$2-1,IF($N$2="WEDNESDAY",$M$2-2,IF($N$2="THURSDAY",$M$2-3,IF($N$2="FRIDAY",$M$2-4)))))))</f>
        <v>45908</v>
      </c>
      <c r="H2" s="32">
        <f ca="1">IF($N$2="SATURDAY",$M$2+3,IF($N$2="SUNDAY",$M$2+2,IF($N$2="MONDAY",$M$2+1,IF($N$2="TUESDAY",$M$2,IF($N$2="WEDNESDAY",$M$2-1,IF($N$2="THURSDAY",$M$2-2,IF($N$2="FRIDAY",$M$2-3)))))))</f>
        <v>45909</v>
      </c>
      <c r="I2" s="32">
        <f ca="1">IF($N$2="SATURDAY",$M$2+4,IF($N$2="SUNDAY",$M$2+3,IF($N$2="MONDAY",$M$2+2,IF($N$2="TUESDAY",$M$2+1,IF($N$2="WEDNESDAY",$M$2,IF($N$2="THURSDAY",$M$2-1,IF($N$2="FRIDAY",$M$2-2)))))))</f>
        <v>45910</v>
      </c>
      <c r="J2" s="32">
        <f ca="1">IF($N$2="SATURDAY",$M$2+5,IF($N$2="SUNDAY",$M$2+4,IF($N$2="MONDAY",$M$2+3,IF($N$2="TUESDAY",$M$2+2,IF($N$2="WEDNESDAY",$M$2+1,IF($N$2="THURSDAY",$M$2,IF($N$2="FRIDAY",$M$2-1)))))))</f>
        <v>45911</v>
      </c>
      <c r="K2" s="32">
        <f ca="1">IF($N$2="SATURDAY",$M$2+6,IF($N$2="SUNDAY",$M$2+5,IF($N$2="MONDAY",$M$2+4,IF($N$2="TUESDAY",$M$2+3,IF($N$2="WEDNESDAY",$M$2+2,IF($N$2="THURSDAY",$M$2+1,IF($N$2="FRIDAY",$M$2)))))))</f>
        <v>45912</v>
      </c>
      <c r="M2" s="28">
        <f ca="1">TODAY()</f>
        <v>45911</v>
      </c>
      <c r="N2" s="25" t="str">
        <f ca="1">TEXT(M2, "DDDD")</f>
        <v>Thursday</v>
      </c>
    </row>
    <row r="3" spans="1:14" x14ac:dyDescent="0.2">
      <c r="A3">
        <v>1</v>
      </c>
      <c r="B3" s="51" t="s">
        <v>36</v>
      </c>
      <c r="C3" s="39">
        <f>D3-2</f>
        <v>44174</v>
      </c>
      <c r="D3" s="39">
        <v>44176</v>
      </c>
      <c r="E3" s="47"/>
      <c r="F3" s="48" t="s">
        <v>32</v>
      </c>
      <c r="G3" s="49"/>
      <c r="H3" s="48" t="s">
        <v>35</v>
      </c>
      <c r="I3" s="49"/>
      <c r="J3" s="48"/>
      <c r="K3" s="49" t="s">
        <v>31</v>
      </c>
      <c r="L3" s="5"/>
    </row>
    <row r="4" spans="1:14" x14ac:dyDescent="0.2">
      <c r="A4">
        <v>2</v>
      </c>
      <c r="B4" s="51" t="s">
        <v>37</v>
      </c>
      <c r="C4" s="39">
        <f>D4-2</f>
        <v>44175</v>
      </c>
      <c r="D4" s="39">
        <v>44177</v>
      </c>
      <c r="E4" s="10"/>
      <c r="F4" s="10"/>
      <c r="G4" s="10"/>
      <c r="H4" s="10"/>
      <c r="I4" s="10"/>
      <c r="J4" s="10"/>
      <c r="K4" s="10"/>
      <c r="L4" s="5"/>
    </row>
    <row r="5" spans="1:14" x14ac:dyDescent="0.2">
      <c r="A5">
        <v>3</v>
      </c>
      <c r="B5" s="51" t="s">
        <v>38</v>
      </c>
      <c r="C5" s="39">
        <f>D5-2</f>
        <v>44176</v>
      </c>
      <c r="D5" s="39">
        <v>44178</v>
      </c>
      <c r="E5" s="10"/>
      <c r="F5" s="10"/>
      <c r="G5" s="10"/>
      <c r="H5" s="10"/>
      <c r="I5" s="10"/>
      <c r="J5" s="10"/>
      <c r="K5" s="10"/>
      <c r="L5" s="5"/>
    </row>
    <row r="6" spans="1:14" x14ac:dyDescent="0.2">
      <c r="A6">
        <v>4</v>
      </c>
      <c r="B6" s="51" t="s">
        <v>39</v>
      </c>
      <c r="C6" s="39">
        <f>D6-2</f>
        <v>44177</v>
      </c>
      <c r="D6" s="39">
        <v>44179</v>
      </c>
      <c r="E6" s="10"/>
      <c r="F6" s="10"/>
      <c r="G6" s="10" t="s">
        <v>31</v>
      </c>
      <c r="H6" s="10"/>
      <c r="I6" s="10"/>
      <c r="J6" s="10"/>
      <c r="K6" s="10"/>
      <c r="L6" s="5"/>
      <c r="N6" s="5"/>
    </row>
    <row r="7" spans="1:14" x14ac:dyDescent="0.2">
      <c r="A7">
        <v>5</v>
      </c>
      <c r="B7" s="51" t="s">
        <v>40</v>
      </c>
      <c r="C7" s="39">
        <f>D7-2</f>
        <v>44178</v>
      </c>
      <c r="D7" s="39">
        <v>44180</v>
      </c>
      <c r="E7" s="10"/>
      <c r="F7" s="10"/>
      <c r="G7" s="10"/>
      <c r="H7" s="10"/>
      <c r="I7" s="10"/>
      <c r="J7" s="10"/>
      <c r="K7" s="50"/>
      <c r="L7" s="5"/>
    </row>
    <row r="8" spans="1:14" x14ac:dyDescent="0.2">
      <c r="A8">
        <v>6</v>
      </c>
      <c r="B8" s="51" t="s">
        <v>41</v>
      </c>
      <c r="C8" s="39">
        <f>D8-3</f>
        <v>44178</v>
      </c>
      <c r="D8" s="39">
        <v>44181</v>
      </c>
      <c r="E8" s="10"/>
      <c r="F8" s="10"/>
      <c r="G8" s="10"/>
      <c r="H8" s="10"/>
      <c r="I8" s="10" t="str">
        <f>REPLACE(I4, 1,1, "")</f>
        <v/>
      </c>
      <c r="J8" s="10"/>
      <c r="K8" s="10"/>
      <c r="L8" s="5"/>
    </row>
    <row r="9" spans="1:14" x14ac:dyDescent="0.2">
      <c r="A9">
        <v>7</v>
      </c>
      <c r="B9" s="51" t="s">
        <v>42</v>
      </c>
      <c r="C9" s="39">
        <f t="shared" ref="C9:C40" si="0">D9-2</f>
        <v>44180</v>
      </c>
      <c r="D9" s="39">
        <v>44182</v>
      </c>
      <c r="E9" s="10"/>
      <c r="F9" s="10"/>
      <c r="G9" s="10"/>
      <c r="H9" s="10"/>
      <c r="I9" s="10"/>
      <c r="J9" s="10"/>
      <c r="K9" s="10"/>
      <c r="L9" s="5"/>
    </row>
    <row r="10" spans="1:14" x14ac:dyDescent="0.2">
      <c r="A10">
        <v>8</v>
      </c>
      <c r="B10" s="51" t="s">
        <v>43</v>
      </c>
      <c r="C10" s="39">
        <f t="shared" si="0"/>
        <v>44181</v>
      </c>
      <c r="D10" s="39">
        <v>44183</v>
      </c>
      <c r="E10" s="10"/>
      <c r="F10" s="10"/>
      <c r="G10" s="10"/>
      <c r="H10" s="10"/>
      <c r="I10" s="10"/>
      <c r="J10" s="10" t="s">
        <v>34</v>
      </c>
      <c r="K10" s="10" t="s">
        <v>33</v>
      </c>
    </row>
    <row r="11" spans="1:14" x14ac:dyDescent="0.2">
      <c r="A11">
        <v>9</v>
      </c>
      <c r="B11" s="51" t="s">
        <v>44</v>
      </c>
      <c r="C11" s="39">
        <f t="shared" si="0"/>
        <v>44182</v>
      </c>
      <c r="D11" s="39">
        <v>44184</v>
      </c>
      <c r="E11" s="10"/>
      <c r="F11" s="10"/>
      <c r="G11" s="10"/>
      <c r="H11" s="10"/>
      <c r="I11" s="10"/>
      <c r="J11" s="10"/>
      <c r="K11" s="10"/>
    </row>
    <row r="12" spans="1:14" x14ac:dyDescent="0.2">
      <c r="A12">
        <v>10</v>
      </c>
      <c r="B12" s="51" t="s">
        <v>45</v>
      </c>
      <c r="C12" s="39">
        <f t="shared" si="0"/>
        <v>44183</v>
      </c>
      <c r="D12" s="39">
        <v>44185</v>
      </c>
      <c r="E12" s="10"/>
      <c r="F12" s="10"/>
      <c r="G12" s="10"/>
      <c r="H12" s="10"/>
      <c r="I12" s="10"/>
      <c r="J12" s="10"/>
      <c r="K12" s="10"/>
    </row>
    <row r="13" spans="1:14" x14ac:dyDescent="0.2">
      <c r="A13">
        <v>11</v>
      </c>
      <c r="B13" s="51" t="s">
        <v>46</v>
      </c>
      <c r="C13" s="39">
        <f t="shared" si="0"/>
        <v>44184</v>
      </c>
      <c r="D13" s="39">
        <v>44186</v>
      </c>
      <c r="E13" s="10"/>
      <c r="F13" s="10"/>
      <c r="G13" s="10"/>
      <c r="H13" s="10"/>
      <c r="I13" s="10"/>
      <c r="J13" s="10"/>
      <c r="K13" s="10"/>
    </row>
    <row r="14" spans="1:14" x14ac:dyDescent="0.2">
      <c r="A14">
        <v>12</v>
      </c>
      <c r="B14" s="51" t="s">
        <v>47</v>
      </c>
      <c r="C14" s="39">
        <f t="shared" si="0"/>
        <v>44185</v>
      </c>
      <c r="D14" s="39">
        <v>44187</v>
      </c>
      <c r="E14" s="10"/>
      <c r="F14" s="10"/>
      <c r="G14" s="10"/>
      <c r="H14" s="10"/>
      <c r="I14" s="10"/>
      <c r="J14" s="10"/>
      <c r="K14" s="10"/>
    </row>
    <row r="15" spans="1:14" x14ac:dyDescent="0.2">
      <c r="A15">
        <v>13</v>
      </c>
      <c r="B15" s="51" t="s">
        <v>48</v>
      </c>
      <c r="C15" s="39">
        <f t="shared" si="0"/>
        <v>44186</v>
      </c>
      <c r="D15" s="39">
        <v>44188</v>
      </c>
    </row>
    <row r="16" spans="1:14" x14ac:dyDescent="0.2">
      <c r="A16">
        <v>14</v>
      </c>
      <c r="B16" s="51" t="s">
        <v>49</v>
      </c>
      <c r="C16" s="39">
        <f t="shared" si="0"/>
        <v>44187</v>
      </c>
      <c r="D16" s="39">
        <v>44189</v>
      </c>
    </row>
    <row r="17" spans="1:4" x14ac:dyDescent="0.2">
      <c r="A17">
        <v>15</v>
      </c>
      <c r="B17" s="51" t="s">
        <v>50</v>
      </c>
      <c r="C17" s="39">
        <f t="shared" si="0"/>
        <v>44188</v>
      </c>
      <c r="D17" s="39">
        <v>44190</v>
      </c>
    </row>
    <row r="18" spans="1:4" x14ac:dyDescent="0.2">
      <c r="A18">
        <v>16</v>
      </c>
      <c r="B18" s="51" t="s">
        <v>36</v>
      </c>
      <c r="C18" s="39">
        <f t="shared" si="0"/>
        <v>44189</v>
      </c>
      <c r="D18" s="39">
        <v>44191</v>
      </c>
    </row>
    <row r="19" spans="1:4" x14ac:dyDescent="0.2">
      <c r="A19">
        <v>17</v>
      </c>
      <c r="B19" s="51" t="s">
        <v>51</v>
      </c>
      <c r="C19" s="39">
        <f t="shared" si="0"/>
        <v>44190</v>
      </c>
      <c r="D19" s="39">
        <v>44192</v>
      </c>
    </row>
    <row r="20" spans="1:4" x14ac:dyDescent="0.2">
      <c r="A20">
        <v>18</v>
      </c>
      <c r="B20" s="51" t="s">
        <v>52</v>
      </c>
      <c r="C20" s="39">
        <f t="shared" si="0"/>
        <v>44191</v>
      </c>
      <c r="D20" s="39">
        <v>44193</v>
      </c>
    </row>
    <row r="21" spans="1:4" x14ac:dyDescent="0.2">
      <c r="A21">
        <v>19</v>
      </c>
      <c r="B21" s="51" t="s">
        <v>53</v>
      </c>
      <c r="C21" s="39">
        <f t="shared" si="0"/>
        <v>44192</v>
      </c>
      <c r="D21" s="39">
        <v>44194</v>
      </c>
    </row>
    <row r="22" spans="1:4" x14ac:dyDescent="0.2">
      <c r="A22">
        <v>20</v>
      </c>
      <c r="B22" s="51" t="s">
        <v>54</v>
      </c>
      <c r="C22" s="39">
        <f t="shared" si="0"/>
        <v>44193</v>
      </c>
      <c r="D22" s="39">
        <v>44195</v>
      </c>
    </row>
    <row r="23" spans="1:4" x14ac:dyDescent="0.2">
      <c r="A23">
        <v>21</v>
      </c>
      <c r="B23" s="51" t="s">
        <v>55</v>
      </c>
      <c r="C23" s="39">
        <f t="shared" si="0"/>
        <v>44194</v>
      </c>
      <c r="D23" s="39">
        <v>44196</v>
      </c>
    </row>
    <row r="24" spans="1:4" x14ac:dyDescent="0.2">
      <c r="A24">
        <v>22</v>
      </c>
      <c r="B24" s="51" t="s">
        <v>56</v>
      </c>
      <c r="C24" s="39">
        <f t="shared" si="0"/>
        <v>44195</v>
      </c>
      <c r="D24" s="39">
        <v>44197</v>
      </c>
    </row>
    <row r="25" spans="1:4" x14ac:dyDescent="0.2">
      <c r="A25">
        <v>23</v>
      </c>
      <c r="B25" s="51" t="s">
        <v>57</v>
      </c>
      <c r="C25" s="39">
        <f t="shared" si="0"/>
        <v>44196</v>
      </c>
      <c r="D25" s="39">
        <v>44198</v>
      </c>
    </row>
    <row r="26" spans="1:4" x14ac:dyDescent="0.2">
      <c r="A26">
        <v>24</v>
      </c>
      <c r="B26" s="51" t="s">
        <v>58</v>
      </c>
      <c r="C26" s="39">
        <f t="shared" si="0"/>
        <v>44197</v>
      </c>
      <c r="D26" s="39">
        <v>44199</v>
      </c>
    </row>
    <row r="27" spans="1:4" x14ac:dyDescent="0.2">
      <c r="A27">
        <v>25</v>
      </c>
      <c r="B27" s="51" t="s">
        <v>59</v>
      </c>
      <c r="C27" s="39">
        <f t="shared" si="0"/>
        <v>44198</v>
      </c>
      <c r="D27" s="39">
        <v>44200</v>
      </c>
    </row>
    <row r="28" spans="1:4" x14ac:dyDescent="0.2">
      <c r="A28">
        <v>26</v>
      </c>
      <c r="B28" s="51" t="s">
        <v>60</v>
      </c>
      <c r="C28" s="39">
        <f t="shared" si="0"/>
        <v>44199</v>
      </c>
      <c r="D28" s="39">
        <v>44201</v>
      </c>
    </row>
    <row r="29" spans="1:4" x14ac:dyDescent="0.2">
      <c r="A29">
        <v>27</v>
      </c>
      <c r="B29" s="51" t="s">
        <v>61</v>
      </c>
      <c r="C29" s="39">
        <f t="shared" si="0"/>
        <v>44200</v>
      </c>
      <c r="D29" s="39">
        <v>44202</v>
      </c>
    </row>
    <row r="30" spans="1:4" x14ac:dyDescent="0.2">
      <c r="A30">
        <v>28</v>
      </c>
      <c r="B30" s="51" t="s">
        <v>62</v>
      </c>
      <c r="C30" s="39">
        <f t="shared" si="0"/>
        <v>44201</v>
      </c>
      <c r="D30" s="39">
        <v>44203</v>
      </c>
    </row>
    <row r="31" spans="1:4" x14ac:dyDescent="0.2">
      <c r="A31">
        <v>29</v>
      </c>
      <c r="B31" s="51" t="s">
        <v>63</v>
      </c>
      <c r="C31" s="39">
        <f t="shared" si="0"/>
        <v>44202</v>
      </c>
      <c r="D31" s="39">
        <v>44204</v>
      </c>
    </row>
    <row r="32" spans="1:4" x14ac:dyDescent="0.2">
      <c r="A32">
        <v>30</v>
      </c>
      <c r="B32" s="51" t="s">
        <v>64</v>
      </c>
      <c r="C32" s="39">
        <f t="shared" si="0"/>
        <v>44203</v>
      </c>
      <c r="D32" s="39">
        <v>44205</v>
      </c>
    </row>
    <row r="33" spans="1:4" x14ac:dyDescent="0.2">
      <c r="A33">
        <v>31</v>
      </c>
      <c r="B33" s="51" t="s">
        <v>65</v>
      </c>
      <c r="C33" s="39">
        <f t="shared" si="0"/>
        <v>44204</v>
      </c>
      <c r="D33" s="39">
        <v>44206</v>
      </c>
    </row>
    <row r="34" spans="1:4" x14ac:dyDescent="0.2">
      <c r="A34">
        <v>32</v>
      </c>
      <c r="B34" s="51" t="s">
        <v>47</v>
      </c>
      <c r="C34" s="39">
        <f t="shared" si="0"/>
        <v>44205</v>
      </c>
      <c r="D34" s="39">
        <v>44207</v>
      </c>
    </row>
    <row r="35" spans="1:4" x14ac:dyDescent="0.2">
      <c r="A35">
        <v>33</v>
      </c>
      <c r="B35" s="51" t="s">
        <v>66</v>
      </c>
      <c r="C35" s="39">
        <f t="shared" si="0"/>
        <v>44206</v>
      </c>
      <c r="D35" s="39">
        <v>44208</v>
      </c>
    </row>
    <row r="36" spans="1:4" x14ac:dyDescent="0.2">
      <c r="A36">
        <v>34</v>
      </c>
      <c r="B36" s="51" t="s">
        <v>67</v>
      </c>
      <c r="C36" s="39">
        <f t="shared" si="0"/>
        <v>44207</v>
      </c>
      <c r="D36" s="39">
        <v>44209</v>
      </c>
    </row>
    <row r="37" spans="1:4" x14ac:dyDescent="0.2">
      <c r="A37">
        <v>35</v>
      </c>
      <c r="B37" s="51" t="s">
        <v>66</v>
      </c>
      <c r="C37" s="39">
        <f t="shared" si="0"/>
        <v>44208</v>
      </c>
      <c r="D37" s="39">
        <v>44210</v>
      </c>
    </row>
    <row r="38" spans="1:4" x14ac:dyDescent="0.2">
      <c r="A38">
        <v>36</v>
      </c>
      <c r="B38" s="51" t="s">
        <v>68</v>
      </c>
      <c r="C38" s="39">
        <f t="shared" si="0"/>
        <v>44209</v>
      </c>
      <c r="D38" s="39">
        <v>44211</v>
      </c>
    </row>
    <row r="39" spans="1:4" x14ac:dyDescent="0.2">
      <c r="A39">
        <v>37</v>
      </c>
      <c r="B39" s="51" t="s">
        <v>69</v>
      </c>
      <c r="C39" s="39">
        <f t="shared" si="0"/>
        <v>44210</v>
      </c>
      <c r="D39" s="39">
        <v>44212</v>
      </c>
    </row>
    <row r="40" spans="1:4" x14ac:dyDescent="0.2">
      <c r="A40">
        <v>38</v>
      </c>
      <c r="B40" s="51" t="s">
        <v>70</v>
      </c>
      <c r="C40" s="39">
        <f t="shared" si="0"/>
        <v>44211</v>
      </c>
      <c r="D40" s="39">
        <v>44213</v>
      </c>
    </row>
    <row r="41" spans="1:4" x14ac:dyDescent="0.2">
      <c r="A41">
        <v>39</v>
      </c>
      <c r="B41" s="51" t="s">
        <v>71</v>
      </c>
      <c r="C41" s="39">
        <f t="shared" ref="C41:C72" si="1">D41-2</f>
        <v>44212</v>
      </c>
      <c r="D41" s="39">
        <v>44214</v>
      </c>
    </row>
    <row r="42" spans="1:4" x14ac:dyDescent="0.2">
      <c r="A42">
        <v>40</v>
      </c>
      <c r="B42" s="51" t="s">
        <v>72</v>
      </c>
      <c r="C42" s="39">
        <f t="shared" si="1"/>
        <v>44213</v>
      </c>
      <c r="D42" s="39">
        <v>44215</v>
      </c>
    </row>
    <row r="43" spans="1:4" x14ac:dyDescent="0.2">
      <c r="A43">
        <v>41</v>
      </c>
      <c r="B43" s="51" t="s">
        <v>73</v>
      </c>
      <c r="C43" s="39">
        <f t="shared" si="1"/>
        <v>44214</v>
      </c>
      <c r="D43" s="39">
        <v>44216</v>
      </c>
    </row>
    <row r="44" spans="1:4" x14ac:dyDescent="0.2">
      <c r="A44">
        <v>42</v>
      </c>
      <c r="B44" s="51" t="s">
        <v>74</v>
      </c>
      <c r="C44" s="39">
        <f t="shared" si="1"/>
        <v>44215</v>
      </c>
      <c r="D44" s="39">
        <v>44217</v>
      </c>
    </row>
    <row r="45" spans="1:4" x14ac:dyDescent="0.2">
      <c r="A45">
        <v>43</v>
      </c>
      <c r="B45" s="51" t="s">
        <v>75</v>
      </c>
      <c r="C45" s="39">
        <f t="shared" si="1"/>
        <v>44216</v>
      </c>
      <c r="D45" s="39">
        <v>44218</v>
      </c>
    </row>
    <row r="46" spans="1:4" x14ac:dyDescent="0.2">
      <c r="A46">
        <v>44</v>
      </c>
      <c r="B46" s="51" t="s">
        <v>76</v>
      </c>
      <c r="C46" s="39">
        <f t="shared" si="1"/>
        <v>44217</v>
      </c>
      <c r="D46" s="39">
        <v>44219</v>
      </c>
    </row>
    <row r="47" spans="1:4" x14ac:dyDescent="0.2">
      <c r="A47">
        <v>45</v>
      </c>
      <c r="B47" s="51" t="s">
        <v>77</v>
      </c>
      <c r="C47" s="39">
        <f t="shared" si="1"/>
        <v>44218</v>
      </c>
      <c r="D47" s="39">
        <v>44220</v>
      </c>
    </row>
    <row r="48" spans="1:4" x14ac:dyDescent="0.2">
      <c r="A48">
        <v>46</v>
      </c>
      <c r="B48" s="51" t="s">
        <v>78</v>
      </c>
      <c r="C48" s="39">
        <f t="shared" si="1"/>
        <v>44219</v>
      </c>
      <c r="D48" s="39">
        <v>44221</v>
      </c>
    </row>
    <row r="49" spans="1:4" x14ac:dyDescent="0.2">
      <c r="A49">
        <v>47</v>
      </c>
      <c r="B49" s="51" t="s">
        <v>79</v>
      </c>
      <c r="C49" s="39">
        <f t="shared" si="1"/>
        <v>44220</v>
      </c>
      <c r="D49" s="39">
        <v>44222</v>
      </c>
    </row>
    <row r="50" spans="1:4" x14ac:dyDescent="0.2">
      <c r="A50">
        <v>48</v>
      </c>
      <c r="B50" s="51" t="s">
        <v>80</v>
      </c>
      <c r="C50" s="39">
        <f t="shared" si="1"/>
        <v>44221</v>
      </c>
      <c r="D50" s="39">
        <v>44223</v>
      </c>
    </row>
    <row r="51" spans="1:4" x14ac:dyDescent="0.2">
      <c r="A51">
        <v>49</v>
      </c>
      <c r="B51" s="51" t="s">
        <v>81</v>
      </c>
      <c r="C51" s="39">
        <f t="shared" si="1"/>
        <v>44222</v>
      </c>
      <c r="D51" s="39">
        <v>44224</v>
      </c>
    </row>
    <row r="52" spans="1:4" x14ac:dyDescent="0.2">
      <c r="A52">
        <v>50</v>
      </c>
      <c r="B52" s="51" t="s">
        <v>67</v>
      </c>
      <c r="C52" s="39">
        <f t="shared" si="1"/>
        <v>44223</v>
      </c>
      <c r="D52" s="39">
        <v>44225</v>
      </c>
    </row>
    <row r="53" spans="1:4" x14ac:dyDescent="0.2">
      <c r="A53">
        <v>51</v>
      </c>
      <c r="B53" s="51" t="s">
        <v>52</v>
      </c>
      <c r="C53" s="39">
        <f t="shared" si="1"/>
        <v>44224</v>
      </c>
      <c r="D53" s="39">
        <v>44226</v>
      </c>
    </row>
    <row r="54" spans="1:4" x14ac:dyDescent="0.2">
      <c r="A54">
        <v>52</v>
      </c>
      <c r="B54" s="51" t="s">
        <v>82</v>
      </c>
      <c r="C54" s="39">
        <f t="shared" si="1"/>
        <v>44225</v>
      </c>
      <c r="D54" s="39">
        <v>44227</v>
      </c>
    </row>
    <row r="55" spans="1:4" x14ac:dyDescent="0.2">
      <c r="A55">
        <v>53</v>
      </c>
      <c r="B55" s="51" t="s">
        <v>42</v>
      </c>
      <c r="C55" s="39">
        <f t="shared" si="1"/>
        <v>44226</v>
      </c>
      <c r="D55" s="39">
        <v>44228</v>
      </c>
    </row>
    <row r="56" spans="1:4" x14ac:dyDescent="0.2">
      <c r="A56">
        <v>54</v>
      </c>
      <c r="B56" s="51" t="s">
        <v>83</v>
      </c>
      <c r="C56" s="39">
        <f t="shared" si="1"/>
        <v>44227</v>
      </c>
      <c r="D56" s="39">
        <v>44229</v>
      </c>
    </row>
    <row r="57" spans="1:4" x14ac:dyDescent="0.2">
      <c r="A57">
        <v>55</v>
      </c>
      <c r="B57" s="51" t="s">
        <v>84</v>
      </c>
      <c r="C57" s="39">
        <f t="shared" si="1"/>
        <v>44228</v>
      </c>
      <c r="D57" s="39">
        <v>44230</v>
      </c>
    </row>
    <row r="58" spans="1:4" x14ac:dyDescent="0.2">
      <c r="A58">
        <v>56</v>
      </c>
      <c r="B58" s="51" t="s">
        <v>85</v>
      </c>
      <c r="C58" s="39">
        <f t="shared" si="1"/>
        <v>44229</v>
      </c>
      <c r="D58" s="39">
        <v>44231</v>
      </c>
    </row>
    <row r="59" spans="1:4" x14ac:dyDescent="0.2">
      <c r="A59">
        <v>57</v>
      </c>
      <c r="B59" s="51" t="s">
        <v>86</v>
      </c>
      <c r="C59" s="39">
        <f t="shared" si="1"/>
        <v>44230</v>
      </c>
      <c r="D59" s="39">
        <v>44232</v>
      </c>
    </row>
    <row r="60" spans="1:4" x14ac:dyDescent="0.2">
      <c r="A60">
        <v>58</v>
      </c>
      <c r="B60" s="51" t="s">
        <v>87</v>
      </c>
      <c r="C60" s="39">
        <f t="shared" si="1"/>
        <v>44231</v>
      </c>
      <c r="D60" s="39">
        <v>44233</v>
      </c>
    </row>
    <row r="61" spans="1:4" x14ac:dyDescent="0.2">
      <c r="A61">
        <v>59</v>
      </c>
      <c r="B61" s="51" t="s">
        <v>88</v>
      </c>
      <c r="C61" s="39">
        <f t="shared" si="1"/>
        <v>44232</v>
      </c>
      <c r="D61" s="39">
        <v>44234</v>
      </c>
    </row>
    <row r="62" spans="1:4" x14ac:dyDescent="0.2">
      <c r="A62">
        <v>60</v>
      </c>
      <c r="B62" s="51" t="s">
        <v>89</v>
      </c>
      <c r="C62" s="39">
        <f t="shared" si="1"/>
        <v>44233</v>
      </c>
      <c r="D62" s="39">
        <v>44235</v>
      </c>
    </row>
    <row r="63" spans="1:4" x14ac:dyDescent="0.2">
      <c r="A63">
        <v>61</v>
      </c>
      <c r="B63" s="51" t="s">
        <v>90</v>
      </c>
      <c r="C63" s="39">
        <f t="shared" si="1"/>
        <v>44234</v>
      </c>
      <c r="D63" s="39">
        <v>44236</v>
      </c>
    </row>
    <row r="64" spans="1:4" x14ac:dyDescent="0.2">
      <c r="A64">
        <v>62</v>
      </c>
      <c r="B64" s="51" t="s">
        <v>91</v>
      </c>
      <c r="C64" s="39">
        <f t="shared" si="1"/>
        <v>44235</v>
      </c>
      <c r="D64" s="39">
        <v>44237</v>
      </c>
    </row>
    <row r="65" spans="1:4" x14ac:dyDescent="0.2">
      <c r="A65">
        <v>63</v>
      </c>
      <c r="B65" s="51" t="s">
        <v>92</v>
      </c>
      <c r="C65" s="39">
        <f t="shared" si="1"/>
        <v>44236</v>
      </c>
      <c r="D65" s="39">
        <v>44238</v>
      </c>
    </row>
    <row r="66" spans="1:4" x14ac:dyDescent="0.2">
      <c r="A66">
        <v>64</v>
      </c>
      <c r="B66" s="51" t="s">
        <v>93</v>
      </c>
      <c r="C66" s="39">
        <f t="shared" si="1"/>
        <v>44237</v>
      </c>
      <c r="D66" s="39">
        <v>44239</v>
      </c>
    </row>
    <row r="67" spans="1:4" x14ac:dyDescent="0.2">
      <c r="A67">
        <v>65</v>
      </c>
      <c r="B67" s="51" t="s">
        <v>94</v>
      </c>
      <c r="C67" s="39">
        <f t="shared" si="1"/>
        <v>44238</v>
      </c>
      <c r="D67" s="39">
        <v>44240</v>
      </c>
    </row>
    <row r="68" spans="1:4" x14ac:dyDescent="0.2">
      <c r="A68">
        <v>66</v>
      </c>
      <c r="B68" s="51" t="s">
        <v>90</v>
      </c>
      <c r="C68" s="39">
        <f t="shared" si="1"/>
        <v>44239</v>
      </c>
      <c r="D68" s="39">
        <v>44241</v>
      </c>
    </row>
    <row r="69" spans="1:4" x14ac:dyDescent="0.2">
      <c r="A69">
        <v>67</v>
      </c>
      <c r="B69" s="51" t="s">
        <v>95</v>
      </c>
      <c r="C69" s="39">
        <f t="shared" si="1"/>
        <v>44240</v>
      </c>
      <c r="D69" s="39">
        <v>44242</v>
      </c>
    </row>
    <row r="70" spans="1:4" x14ac:dyDescent="0.2">
      <c r="A70">
        <v>68</v>
      </c>
      <c r="B70" s="51" t="s">
        <v>96</v>
      </c>
      <c r="C70" s="39">
        <f t="shared" si="1"/>
        <v>44241</v>
      </c>
      <c r="D70" s="39">
        <v>44243</v>
      </c>
    </row>
    <row r="71" spans="1:4" x14ac:dyDescent="0.2">
      <c r="A71">
        <v>69</v>
      </c>
      <c r="B71" s="51" t="s">
        <v>97</v>
      </c>
      <c r="C71" s="39">
        <f t="shared" si="1"/>
        <v>44242</v>
      </c>
      <c r="D71" s="39">
        <v>44244</v>
      </c>
    </row>
    <row r="72" spans="1:4" x14ac:dyDescent="0.2">
      <c r="A72">
        <v>70</v>
      </c>
      <c r="B72" s="51" t="s">
        <v>98</v>
      </c>
      <c r="C72" s="39">
        <f t="shared" si="1"/>
        <v>44243</v>
      </c>
      <c r="D72" s="39">
        <v>44245</v>
      </c>
    </row>
  </sheetData>
  <sortState xmlns:xlrd2="http://schemas.microsoft.com/office/spreadsheetml/2017/richdata2" ref="A2:K200">
    <sortCondition ref="A3:A200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493"/>
  <sheetViews>
    <sheetView tabSelected="1" zoomScale="150" zoomScaleNormal="100" workbookViewId="0">
      <pane xSplit="2" topLeftCell="C1" activePane="topRight" state="frozen"/>
      <selection activeCell="B1" sqref="B1"/>
      <selection pane="topRight" activeCell="O13" sqref="O13"/>
    </sheetView>
  </sheetViews>
  <sheetFormatPr baseColWidth="10" defaultColWidth="8.83203125" defaultRowHeight="15" x14ac:dyDescent="0.2"/>
  <cols>
    <col min="1" max="1" width="8.5" customWidth="1"/>
    <col min="2" max="2" width="21.5" bestFit="1" customWidth="1"/>
    <col min="3" max="3" width="17.5" style="11" bestFit="1" customWidth="1"/>
    <col min="4" max="4" width="13.6640625" bestFit="1" customWidth="1"/>
    <col min="5" max="6" width="12.1640625" bestFit="1" customWidth="1"/>
    <col min="7" max="7" width="13.5" style="5" hidden="1" customWidth="1"/>
    <col min="8" max="8" width="11.33203125" customWidth="1"/>
    <col min="9" max="9" width="6.83203125" bestFit="1" customWidth="1"/>
    <col min="10" max="10" width="12.6640625" style="11" hidden="1" customWidth="1"/>
    <col min="11" max="11" width="37.6640625" style="54" bestFit="1" customWidth="1"/>
    <col min="12" max="12" width="21.5" hidden="1" customWidth="1"/>
    <col min="13" max="13" width="19.6640625" hidden="1" customWidth="1"/>
    <col min="14" max="14" width="18.6640625" style="40" hidden="1" customWidth="1"/>
    <col min="15" max="15" width="10.6640625" customWidth="1"/>
    <col min="16" max="16" width="11.5" bestFit="1" customWidth="1"/>
    <col min="17" max="17" width="11.6640625" bestFit="1" customWidth="1"/>
    <col min="18" max="18" width="12.33203125" hidden="1" customWidth="1"/>
    <col min="19" max="19" width="10.5" customWidth="1"/>
    <col min="20" max="20" width="21.5" bestFit="1" customWidth="1"/>
    <col min="21" max="21" width="10" customWidth="1"/>
    <col min="22" max="22" width="24.33203125" hidden="1" customWidth="1"/>
    <col min="23" max="23" width="10.5" customWidth="1"/>
    <col min="24" max="30" width="9.1640625" bestFit="1" customWidth="1"/>
    <col min="31" max="31" width="10" bestFit="1" customWidth="1"/>
  </cols>
  <sheetData>
    <row r="1" spans="1:26" ht="16" thickBot="1" x14ac:dyDescent="0.25">
      <c r="A1" s="1" t="s">
        <v>21</v>
      </c>
      <c r="B1" s="1" t="s">
        <v>0</v>
      </c>
      <c r="C1" s="23" t="s">
        <v>9</v>
      </c>
      <c r="D1" s="1" t="s">
        <v>10</v>
      </c>
      <c r="E1" s="1" t="s">
        <v>23</v>
      </c>
      <c r="F1" s="1" t="s">
        <v>24</v>
      </c>
      <c r="G1" s="37" t="s">
        <v>14</v>
      </c>
      <c r="H1" s="1" t="s">
        <v>1</v>
      </c>
      <c r="I1" s="1" t="s">
        <v>11</v>
      </c>
      <c r="J1" s="23" t="s">
        <v>15</v>
      </c>
      <c r="K1" s="53" t="s">
        <v>22</v>
      </c>
      <c r="L1" s="23" t="s">
        <v>13</v>
      </c>
      <c r="M1" s="23" t="s">
        <v>12</v>
      </c>
      <c r="N1" s="23" t="s">
        <v>16</v>
      </c>
      <c r="O1" s="1"/>
      <c r="P1" s="1" t="s">
        <v>28</v>
      </c>
      <c r="Q1" s="1" t="s">
        <v>29</v>
      </c>
      <c r="S1" s="1" t="s">
        <v>17</v>
      </c>
      <c r="T1" s="1" t="s">
        <v>13</v>
      </c>
      <c r="V1" s="1"/>
    </row>
    <row r="2" spans="1:26" ht="16" thickBot="1" x14ac:dyDescent="0.25">
      <c r="A2">
        <v>1</v>
      </c>
      <c r="B2" s="51" t="s">
        <v>36</v>
      </c>
      <c r="C2" s="26">
        <f ca="1">IFERROR(IF(H2="NEW HIRE",100,IF($P$2-H2&lt;=100,$P$2-H2,IF($P$2-H2&gt;=365,0,))), 0)</f>
        <v>2</v>
      </c>
      <c r="D2" t="s">
        <v>2</v>
      </c>
      <c r="E2" t="s">
        <v>7</v>
      </c>
      <c r="F2" t="s">
        <v>8</v>
      </c>
      <c r="G2" s="38">
        <f ca="1">IF(AND(MASTER!K3&lt;&gt;"X",MASTER!K3&lt;&gt;"",MASTER!$K$2&lt;&gt;BUCKET!H2, MASTER!$K$2&lt;=MASTER!$M$2),MASTER!$K$2,IF(AND(MASTER!J3&lt;&gt;"X",MASTER!J3&lt;&gt;"",MASTER!$J$2&lt;&gt;BUCKET!H2, MASTER!$J$2&lt;=MASTER!$M$2),MASTER!$J$2,IF(AND(MASTER!I3&lt;&gt;"X",MASTER!I3&lt;&gt;"",MASTER!$I$2&lt;&gt;BUCKET!H2, MASTER!$I$2&lt;=MASTER!$M$2),MASTER!$I$2, IF(AND(MASTER!H3&lt;&gt;"X", MASTER!H3&lt;&gt;"", MASTER!$H$2&lt;&gt;BUCKET!H2, MASTER!$H$2&lt;=MASTER!$M$2), MASTER!$H$2, IF(AND(MASTER!G3&lt;&gt;"X", MASTER!G3&lt;&gt;"", MASTER!$G$2&lt;&gt;BUCKET!H2, MASTER!$G$2&lt;=MASTER!$M$2), MASTER!$H$2, IF(AND(MASTER!G3&lt;&gt;"X", MASTER!G3&lt;&gt;"", MASTER!$G$2&lt;&gt;BUCKET!H2, MASTER!$F$2&lt;=MASTER!$M$2), MASTER!$G$2, IF(AND(MASTER!F3&lt;&gt;"X", MASTER!F3&lt;&gt;"", MASTER!$F$2&lt;&gt;BUCKET!H2, MASTER!$F$2&lt;=MASTER!$M$2), MASTER!$F$2, IF(AND(MASTER!E3&lt;&gt;"X", MASTER!E3&lt;&gt;"", MASTER!$E$2&lt;&gt;BUCKET!H2, MASTER!$E$2&lt;=MASTER!$M$2), MASTER!$E$2, IF(AND( MASTER!D3&lt;&gt;"", MASTER!D3&lt;&gt;BUCKET!H2), MASTER!D3, IF(AND(MASTER!C3&lt;&gt;"X", MASTER!C3&lt;&gt;""), MASTER!C3))))))))))</f>
        <v>44176</v>
      </c>
      <c r="H2" s="35">
        <f ca="1">IF(AND(MASTER!K3&lt;&gt;"X", MASTER!K3&lt;&gt;"", MASTER!$K$2&lt;=MASTER!$M$2), MASTER!$K$2, IF(AND(MASTER!J3&lt;&gt;"X", MASTER!J3&lt;&gt;"", MASTER!$J$2&lt;=MASTER!$M$2),MASTER!$J$2, IF(AND(MASTER!I3&lt;&gt;"X", MASTER!I3&lt;&gt;"", MASTER!$I$2&lt;=MASTER!$M$2),MASTER!$I$2, IF(AND(MASTER!H3&lt;&gt;"X", MASTER!H3&lt;&gt;"", MASTER!$H$2&lt;=MASTER!$M$2),MASTER!$H$2, IF(AND(MASTER!G3&lt;&gt;"X", MASTER!G3&lt;&gt;"", MASTER!$F$2&lt;=MASTER!$M$2),MASTER!$G$2, IF(AND(MASTER!F3&lt;&gt;"X", MASTER!F3&lt;&gt;"", MASTER!$F$2&lt;=MASTER!$M$2), MASTER!$F$2, IF(AND(MASTER!E3&lt;&gt;"X", MASTER!E3&lt;&gt;"", MASTER!$E$2&lt;=MASTER!$M$2),MASTER!$E$2, IF(MASTER!D3&lt;&gt;"", MASTER!D3,""))))))))</f>
        <v>45909</v>
      </c>
      <c r="I2" s="8" t="s">
        <v>13</v>
      </c>
      <c r="J2" s="26" t="b">
        <f ca="1">IFERROR(IF(H2="NEW HIRE",FALSE,IF(AND((H2-G2)&lt;=1),($P$2-H2)&lt;=1)), "")</f>
        <v>0</v>
      </c>
      <c r="K2" s="54" t="b">
        <v>0</v>
      </c>
      <c r="L2" s="29" t="str">
        <f ca="1">IFERROR(IF(AND(MASTER!$K$1=MASTER!$N$2,MASTER!K3="X"),"",IF(AND(MASTER!$J$1=MASTER!$N$2,MASTER!J3="X"),"",IF(AND(MASTER!$I$1=MASTER!$N$2,MASTER!I3="X"),"",IF(AND(MASTER!$H$1=MASTER!$N$2,MASTER!H3="X"),"",IF(AND(MASTER!$G$1=MASTER!$N$2,MASTER!G3="X"),"",IF(AND(MASTER!$F$1=MASTER!$N$2,MASTER!F3="X"),"",IF(AND(MASTER!$E$1=MASTER!$N$2,MASTER!E3="X"),"",IF(AND($Q$2&lt;&gt;D2,$Q$2&lt;&gt;E2,$Q$2&lt;&gt;F2,I2="6 to 2",J2=FALSE,K2=FALSE),B2,"")))))))), "")</f>
        <v>Jamie Williams</v>
      </c>
      <c r="M2" s="31" t="str">
        <f ca="1">IFERROR(IF(AND(MASTER!$K$1=MASTER!$N$2,MASTER!K3="X"),"",IF(AND(MASTER!$J$1=MASTER!$N$2,MASTER!J3="X"),"",IF(AND(MASTER!$I$1=MASTER!$N$2,MASTER!I3="X"),"",IF(AND(MASTER!$H$1=MASTER!$N$2,MASTER!H3="X"),"",IF(AND(MASTER!$G$1=MASTER!$N$2,MASTER!G3="X"),"",IF(AND(MASTER!$F$1=MASTER!$N$2,MASTER!F3="X"),"",IF(AND(MASTER!$E$1=MASTER!$N$2,MASTER!E3="X"),"",IF(AND($Q$2&lt;&gt;D2,$Q$2&lt;&gt;E2,$Q$2&lt;&gt;F2,I2="2 to 10",J2=FALSE,K2=FALSE),B2,"")))))))), "")</f>
        <v/>
      </c>
      <c r="N2" s="41" t="str">
        <f ca="1">IFERROR(IF(AND(MASTER!$K$1=MASTER!$N$2,MASTER!K3="X"),"",IF(AND(MASTER!$J$1=MASTER!$N$2,MASTER!J3="X"),"",IF(AND(MASTER!$I$1=MASTER!$N$2,MASTER!I3="X"),"",IF(AND(MASTER!$H$1=MASTER!$N$2,MASTER!H3="X"),"",IF(AND(MASTER!$G$1=MASTER!$N$2,MASTER!G3="X"),"",IF(AND(MASTER!$F$1=MASTER!$N$2,MASTER!F3="X"),"",IF(AND(MASTER!$E$1=MASTER!$N$2,MASTER!E3="X"),"",IF(AND($Q$2&lt;&gt;D2,$Q$2&lt;&gt;E2,$Q$2&lt;&gt;F2,I2="10 to 6",J2=FALSE,K2=FALSE),B2,"")))))))), "")</f>
        <v/>
      </c>
      <c r="P2" s="28">
        <f ca="1">TODAY()</f>
        <v>45911</v>
      </c>
      <c r="Q2" s="25" t="str">
        <f ca="1">TEXT(P2, "DDDD")</f>
        <v>Thursday</v>
      </c>
      <c r="S2" s="14">
        <v>1</v>
      </c>
      <c r="T2" s="15" t="str">
        <f t="array" aca="1" ref="T2" ca="1">INDIRECT("L"&amp;SMALL(IF(LEN($L$1:$L201)=0, "", ROW($1:$200)), ROW(M2)))</f>
        <v>Jamie Williams</v>
      </c>
      <c r="V2" t="s">
        <v>3</v>
      </c>
    </row>
    <row r="3" spans="1:26" ht="16" thickBot="1" x14ac:dyDescent="0.25">
      <c r="A3">
        <v>2</v>
      </c>
      <c r="B3" s="51" t="s">
        <v>37</v>
      </c>
      <c r="C3" s="27">
        <f ca="1">IFERROR(IF(H3="NEW HIRE",100,IF($P$2-H3&lt;=100,$P$2-H3,IF($P$2-H3&gt;=365,0,))), 0)</f>
        <v>0</v>
      </c>
      <c r="D3" t="s">
        <v>6</v>
      </c>
      <c r="E3" t="s">
        <v>2</v>
      </c>
      <c r="F3" t="s">
        <v>7</v>
      </c>
      <c r="G3" s="38">
        <f ca="1">IF(AND(MASTER!K4&lt;&gt;"X",MASTER!K4&lt;&gt;"",MASTER!$K$2&lt;&gt;BUCKET!H3, MASTER!$K$2&lt;=MASTER!$M$2),MASTER!$K$2,IF(AND(MASTER!J4&lt;&gt;"X",MASTER!J4&lt;&gt;"",MASTER!$J$2&lt;&gt;BUCKET!H3, MASTER!$J$2&lt;=MASTER!$M$2),MASTER!$J$2,IF(AND(MASTER!I4&lt;&gt;"X",MASTER!I4&lt;&gt;"",MASTER!$I$2&lt;&gt;BUCKET!H3, MASTER!$I$2&lt;=MASTER!$M$2),MASTER!$I$2, IF(AND(MASTER!H4&lt;&gt;"X", MASTER!H4&lt;&gt;"", MASTER!$H$2&lt;&gt;BUCKET!H3, MASTER!$H$2&lt;=MASTER!$M$2), MASTER!$H$2, IF(AND(MASTER!G4&lt;&gt;"X", MASTER!G4&lt;&gt;"", MASTER!$G$2&lt;&gt;BUCKET!H3, MASTER!$G$2&lt;=MASTER!$M$2), MASTER!$H$2, IF(AND(MASTER!G4&lt;&gt;"X", MASTER!G4&lt;&gt;"", MASTER!$G$2&lt;&gt;BUCKET!H3, MASTER!$F$2&lt;=MASTER!$M$2), MASTER!$G$2, IF(AND(MASTER!F4&lt;&gt;"X", MASTER!F4&lt;&gt;"", MASTER!$F$2&lt;&gt;BUCKET!H3, MASTER!$F$2&lt;=MASTER!$M$2), MASTER!$F$2, IF(AND(MASTER!E4&lt;&gt;"X", MASTER!E4&lt;&gt;"", MASTER!$E$2&lt;&gt;BUCKET!H3, MASTER!$E$2&lt;=MASTER!$M$2), MASTER!$E$2, IF(AND( MASTER!D4&lt;&gt;"", MASTER!D4&lt;&gt;BUCKET!H3), MASTER!D4, IF(AND(MASTER!C4&lt;&gt;"X", MASTER!C4&lt;&gt;""), MASTER!C4))))))))))</f>
        <v>44175</v>
      </c>
      <c r="H3" s="35">
        <f ca="1">IF(AND(MASTER!K4&lt;&gt;"X", MASTER!K4&lt;&gt;"", MASTER!$K$2&lt;=MASTER!$M$2), MASTER!$K$2, IF(AND(MASTER!J4&lt;&gt;"X", MASTER!J4&lt;&gt;"", MASTER!$J$2&lt;=MASTER!$M$2),MASTER!$J$2, IF(AND(MASTER!I4&lt;&gt;"X", MASTER!I4&lt;&gt;"", MASTER!$I$2&lt;=MASTER!$M$2),MASTER!$I$2, IF(AND(MASTER!H4&lt;&gt;"X", MASTER!H4&lt;&gt;"", MASTER!$H$2&lt;=MASTER!$M$2),MASTER!$H$2, IF(AND(MASTER!G4&lt;&gt;"X", MASTER!G4&lt;&gt;"", MASTER!$F$2&lt;=MASTER!$M$2),MASTER!$G$2, IF(AND(MASTER!F4&lt;&gt;"X", MASTER!F4&lt;&gt;"", MASTER!$F$2&lt;=MASTER!$M$2), MASTER!$F$2, IF(AND(MASTER!E4&lt;&gt;"X", MASTER!E4&lt;&gt;"", MASTER!$E$2&lt;=MASTER!$M$2),MASTER!$E$2, IF(MASTER!D4&lt;&gt;"", MASTER!D4,""))))))))</f>
        <v>44177</v>
      </c>
      <c r="I3" s="8" t="s">
        <v>13</v>
      </c>
      <c r="J3" s="27" t="b">
        <f ca="1">IFERROR(IF(H3="NEW HIRE",FALSE,IF(AND((H3-G3)&lt;=1),($P$2-H3)&lt;=1)), "")</f>
        <v>0</v>
      </c>
      <c r="K3" s="54" t="b">
        <v>0</v>
      </c>
      <c r="L3" s="30" t="str">
        <f ca="1">IFERROR(IF(AND(MASTER!$K$1=MASTER!$N$2,MASTER!K4="X"),"",IF(AND(MASTER!$J$1=MASTER!$N$2,MASTER!J4="X"),"",IF(AND(MASTER!$I$1=MASTER!$N$2,MASTER!I4="X"),"",IF(AND(MASTER!$H$1=MASTER!$N$2,MASTER!H4="X"),"",IF(AND(MASTER!$G$1=MASTER!$N$2,MASTER!G4="X"),"",IF(AND(MASTER!$F$1=MASTER!$N$2,MASTER!F4="X"),"",IF(AND(MASTER!$E$1=MASTER!$N$2,MASTER!E4="X"),"",IF(AND($Q$2&lt;&gt;D3,$Q$2&lt;&gt;E3,$Q$2&lt;&gt;F3,I3="6 to 2",J3=FALSE,K3=FALSE),B3,"")))))))), "")</f>
        <v/>
      </c>
      <c r="M3" s="34" t="str">
        <f ca="1">IFERROR(IF(AND(MASTER!$K$1=MASTER!$N$2,MASTER!K4="X"),"",IF(AND(MASTER!$J$1=MASTER!$N$2,MASTER!J4="X"),"",IF(AND(MASTER!$I$1=MASTER!$N$2,MASTER!I4="X"),"",IF(AND(MASTER!$H$1=MASTER!$N$2,MASTER!H4="X"),"",IF(AND(MASTER!$G$1=MASTER!$N$2,MASTER!G4="X"),"",IF(AND(MASTER!$F$1=MASTER!$N$2,MASTER!F4="X"),"",IF(AND(MASTER!$E$1=MASTER!$N$2,MASTER!E4="X"),"",IF(AND($Q$2&lt;&gt;D3,$Q$2&lt;&gt;E3,$Q$2&lt;&gt;F3,I3="2 to 10",J3=FALSE,K3=FALSE),B3,"")))))))), "")</f>
        <v/>
      </c>
      <c r="N3" s="44" t="str">
        <f ca="1">IFERROR(IF(AND(MASTER!$K$1=MASTER!$N$2,MASTER!K4="X"),"",IF(AND(MASTER!$J$1=MASTER!$N$2,MASTER!J4="X"),"",IF(AND(MASTER!$I$1=MASTER!$N$2,MASTER!I4="X"),"",IF(AND(MASTER!$H$1=MASTER!$N$2,MASTER!H4="X"),"",IF(AND(MASTER!$G$1=MASTER!$N$2,MASTER!G4="X"),"",IF(AND(MASTER!$F$1=MASTER!$N$2,MASTER!F4="X"),"",IF(AND(MASTER!$E$1=MASTER!$N$2,MASTER!E4="X"),"",IF(AND($Q$2&lt;&gt;D3,$Q$2&lt;&gt;E3,$Q$2&lt;&gt;F3,I3="10 to 6",J3=FALSE,K3=FALSE),B3,"")))))))), "")</f>
        <v/>
      </c>
      <c r="P3" s="6"/>
      <c r="S3" s="16">
        <v>2</v>
      </c>
      <c r="T3" s="17" t="str">
        <f t="array" aca="1" ref="T3" ca="1">INDIRECT("L"&amp;SMALL(IF(LEN($L$1:$L202)=0, "", ROW($1:$200)), ROW(M3)))</f>
        <v>Morgan Thomas</v>
      </c>
      <c r="V3" t="s">
        <v>4</v>
      </c>
      <c r="Z3" s="9"/>
    </row>
    <row r="4" spans="1:26" ht="16" thickBot="1" x14ac:dyDescent="0.25">
      <c r="A4">
        <v>3</v>
      </c>
      <c r="B4" s="51" t="s">
        <v>38</v>
      </c>
      <c r="C4" s="27">
        <f ca="1">IFERROR(IF(H4="NEW HIRE",100,IF($P$2-H4&lt;=100,$P$2-H4,IF($P$2-H4&gt;=365,0,))), 0)</f>
        <v>0</v>
      </c>
      <c r="D4" t="s">
        <v>8</v>
      </c>
      <c r="E4" t="s">
        <v>3</v>
      </c>
      <c r="F4" t="s">
        <v>4</v>
      </c>
      <c r="G4" s="38">
        <f ca="1">IF(AND(MASTER!K5&lt;&gt;"X",MASTER!K5&lt;&gt;"",MASTER!$K$2&lt;&gt;BUCKET!H4, MASTER!$K$2&lt;=MASTER!$M$2),MASTER!$K$2,IF(AND(MASTER!J5&lt;&gt;"X",MASTER!J5&lt;&gt;"",MASTER!$J$2&lt;&gt;BUCKET!H4, MASTER!$J$2&lt;=MASTER!$M$2),MASTER!$J$2,IF(AND(MASTER!I5&lt;&gt;"X",MASTER!I5&lt;&gt;"",MASTER!$I$2&lt;&gt;BUCKET!H4, MASTER!$I$2&lt;=MASTER!$M$2),MASTER!$I$2, IF(AND(MASTER!H5&lt;&gt;"X", MASTER!H5&lt;&gt;"", MASTER!$H$2&lt;&gt;BUCKET!H4, MASTER!$H$2&lt;=MASTER!$M$2), MASTER!$H$2, IF(AND(MASTER!G5&lt;&gt;"X", MASTER!G5&lt;&gt;"", MASTER!$G$2&lt;&gt;BUCKET!H4, MASTER!$G$2&lt;=MASTER!$M$2), MASTER!$H$2, IF(AND(MASTER!G5&lt;&gt;"X", MASTER!G5&lt;&gt;"", MASTER!$G$2&lt;&gt;BUCKET!H4, MASTER!$F$2&lt;=MASTER!$M$2), MASTER!$G$2, IF(AND(MASTER!F5&lt;&gt;"X", MASTER!F5&lt;&gt;"", MASTER!$F$2&lt;&gt;BUCKET!H4, MASTER!$F$2&lt;=MASTER!$M$2), MASTER!$F$2, IF(AND(MASTER!E5&lt;&gt;"X", MASTER!E5&lt;&gt;"", MASTER!$E$2&lt;&gt;BUCKET!H4, MASTER!$E$2&lt;=MASTER!$M$2), MASTER!$E$2, IF(AND( MASTER!D5&lt;&gt;"", MASTER!D5&lt;&gt;BUCKET!H4), MASTER!D5, IF(AND(MASTER!C5&lt;&gt;"X", MASTER!C5&lt;&gt;""), MASTER!C5))))))))))</f>
        <v>44176</v>
      </c>
      <c r="H4" s="35">
        <f ca="1">IF(AND(MASTER!K5&lt;&gt;"X", MASTER!K5&lt;&gt;"", MASTER!$K$2&lt;=MASTER!$M$2), MASTER!$K$2, IF(AND(MASTER!J5&lt;&gt;"X", MASTER!J5&lt;&gt;"", MASTER!$J$2&lt;=MASTER!$M$2),MASTER!$J$2, IF(AND(MASTER!I5&lt;&gt;"X", MASTER!I5&lt;&gt;"", MASTER!$I$2&lt;=MASTER!$M$2),MASTER!$I$2, IF(AND(MASTER!H5&lt;&gt;"X", MASTER!H5&lt;&gt;"", MASTER!$H$2&lt;=MASTER!$M$2),MASTER!$H$2, IF(AND(MASTER!G5&lt;&gt;"X", MASTER!G5&lt;&gt;"", MASTER!$F$2&lt;=MASTER!$M$2),MASTER!$G$2, IF(AND(MASTER!F5&lt;&gt;"X", MASTER!F5&lt;&gt;"", MASTER!$F$2&lt;=MASTER!$M$2), MASTER!$F$2, IF(AND(MASTER!E5&lt;&gt;"X", MASTER!E5&lt;&gt;"", MASTER!$E$2&lt;=MASTER!$M$2),MASTER!$E$2, IF(MASTER!D5&lt;&gt;"", MASTER!D5,""))))))))</f>
        <v>44178</v>
      </c>
      <c r="I4" s="8" t="s">
        <v>13</v>
      </c>
      <c r="J4" s="27" t="b">
        <f ca="1">IFERROR(IF(H4="NEW HIRE",FALSE,IF(AND((H4-G4)&lt;=1),($P$2-H4)&lt;=1)), "")</f>
        <v>0</v>
      </c>
      <c r="K4" s="54" t="s">
        <v>19</v>
      </c>
      <c r="L4" s="30" t="str">
        <f ca="1">IFERROR(IF(AND(MASTER!$K$1=MASTER!$N$2,MASTER!K5="X"),"",IF(AND(MASTER!$J$1=MASTER!$N$2,MASTER!J5="X"),"",IF(AND(MASTER!$I$1=MASTER!$N$2,MASTER!I5="X"),"",IF(AND(MASTER!$H$1=MASTER!$N$2,MASTER!H5="X"),"",IF(AND(MASTER!$G$1=MASTER!$N$2,MASTER!G5="X"),"",IF(AND(MASTER!$F$1=MASTER!$N$2,MASTER!F5="X"),"",IF(AND(MASTER!$E$1=MASTER!$N$2,MASTER!E5="X"),"",IF(AND($Q$2&lt;&gt;D4,$Q$2&lt;&gt;E4,$Q$2&lt;&gt;F4,I4="6 to 2",J4=FALSE,K4=FALSE),B4,"")))))))), "")</f>
        <v/>
      </c>
      <c r="M4" s="34" t="str">
        <f ca="1">IFERROR(IF(AND(MASTER!$K$1=MASTER!$N$2,MASTER!K5="X"),"",IF(AND(MASTER!$J$1=MASTER!$N$2,MASTER!J5="X"),"",IF(AND(MASTER!$I$1=MASTER!$N$2,MASTER!I5="X"),"",IF(AND(MASTER!$H$1=MASTER!$N$2,MASTER!H5="X"),"",IF(AND(MASTER!$G$1=MASTER!$N$2,MASTER!G5="X"),"",IF(AND(MASTER!$F$1=MASTER!$N$2,MASTER!F5="X"),"",IF(AND(MASTER!$E$1=MASTER!$N$2,MASTER!E5="X"),"",IF(AND($Q$2&lt;&gt;D4,$Q$2&lt;&gt;E4,$Q$2&lt;&gt;F4,I4="2 to 10",J4=FALSE,K4=FALSE),B4,"")))))))), "")</f>
        <v/>
      </c>
      <c r="N4" s="44" t="str">
        <f ca="1">IFERROR(IF(AND(MASTER!$K$1=MASTER!$N$2,MASTER!K5="X"),"",IF(AND(MASTER!$J$1=MASTER!$N$2,MASTER!J5="X"),"",IF(AND(MASTER!$I$1=MASTER!$N$2,MASTER!I5="X"),"",IF(AND(MASTER!$H$1=MASTER!$N$2,MASTER!H5="X"),"",IF(AND(MASTER!$G$1=MASTER!$N$2,MASTER!G5="X"),"",IF(AND(MASTER!$F$1=MASTER!$N$2,MASTER!F5="X"),"",IF(AND(MASTER!$E$1=MASTER!$N$2,MASTER!E5="X"),"",IF(AND($Q$2&lt;&gt;D4,$Q$2&lt;&gt;E4,$Q$2&lt;&gt;F4,I4="10 to 6",J4=FALSE,K4=FALSE),B4,"")))))))), "")</f>
        <v/>
      </c>
      <c r="P4" s="6"/>
      <c r="S4" s="16">
        <v>3</v>
      </c>
      <c r="T4" s="17" t="str">
        <f t="array" aca="1" ref="T4" ca="1">INDIRECT("L"&amp;SMALL(IF(LEN($L$1:$L203)=0, "", ROW($1:$200)), ROW(M4)))</f>
        <v>Elliot White</v>
      </c>
      <c r="V4" t="s">
        <v>5</v>
      </c>
    </row>
    <row r="5" spans="1:26" ht="16" thickBot="1" x14ac:dyDescent="0.25">
      <c r="A5">
        <v>4</v>
      </c>
      <c r="B5" s="51" t="s">
        <v>99</v>
      </c>
      <c r="C5" s="27">
        <f ca="1">IFERROR(IF(H5="NEW HIRE",100,IF($P$2-H5&lt;=100,$P$2-H5,IF($P$2-H5&gt;=365,0,))), 0)</f>
        <v>3</v>
      </c>
      <c r="D5" s="9"/>
      <c r="E5" s="9"/>
      <c r="F5" s="9"/>
      <c r="G5" s="38">
        <f ca="1">IF(AND(MASTER!K72&lt;&gt;"X",MASTER!K72&lt;&gt;"",MASTER!$K$2&lt;&gt;BUCKET!H72, MASTER!$K$2&lt;=MASTER!$M$2),MASTER!$K$2,IF(AND(MASTER!J72&lt;&gt;"X",MASTER!J72&lt;&gt;"",MASTER!$J$2&lt;&gt;BUCKET!H72, MASTER!$J$2&lt;=MASTER!$M$2),MASTER!$J$2,IF(AND(MASTER!I72&lt;&gt;"X",MASTER!I72&lt;&gt;"",MASTER!$I$2&lt;&gt;BUCKET!H72, MASTER!$I$2&lt;=MASTER!$M$2),MASTER!$I$2, IF(AND(MASTER!H72&lt;&gt;"X", MASTER!H72&lt;&gt;"", MASTER!$H$2&lt;&gt;BUCKET!H72, MASTER!$H$2&lt;=MASTER!$M$2), MASTER!$H$2, IF(AND(MASTER!G72&lt;&gt;"X", MASTER!G72&lt;&gt;"", MASTER!$G$2&lt;&gt;BUCKET!H72, MASTER!$G$2&lt;=MASTER!$M$2), MASTER!$H$2, IF(AND(MASTER!G72&lt;&gt;"X", MASTER!G72&lt;&gt;"", MASTER!$G$2&lt;&gt;BUCKET!H72, MASTER!$F$2&lt;=MASTER!$M$2), MASTER!$G$2, IF(AND(MASTER!F72&lt;&gt;"X", MASTER!F72&lt;&gt;"", MASTER!$F$2&lt;&gt;BUCKET!H72, MASTER!$F$2&lt;=MASTER!$M$2), MASTER!$F$2, IF(AND(MASTER!E72&lt;&gt;"X", MASTER!E72&lt;&gt;"", MASTER!$E$2&lt;&gt;BUCKET!H72, MASTER!$E$2&lt;=MASTER!$M$2), MASTER!$E$2, IF(AND( MASTER!D72&lt;&gt;"", MASTER!D72&lt;&gt;BUCKET!H72), MASTER!D72, IF(AND(MASTER!C72&lt;&gt;"X", MASTER!C72&lt;&gt;""), MASTER!C72))))))))))</f>
        <v>44245</v>
      </c>
      <c r="H5" s="35">
        <f ca="1">IF(AND(MASTER!K6&lt;&gt;"X", MASTER!K6&lt;&gt;"", MASTER!$K$2&lt;=MASTER!$M$2), MASTER!$K$2, IF(AND(MASTER!J6&lt;&gt;"X", MASTER!J6&lt;&gt;"", MASTER!$J$2&lt;=MASTER!$M$2),MASTER!$J$2, IF(AND(MASTER!I6&lt;&gt;"X", MASTER!I6&lt;&gt;"", MASTER!$I$2&lt;=MASTER!$M$2),MASTER!$I$2, IF(AND(MASTER!H6&lt;&gt;"X", MASTER!H6&lt;&gt;"", MASTER!$H$2&lt;=MASTER!$M$2),MASTER!$H$2, IF(AND(MASTER!G6&lt;&gt;"X", MASTER!G6&lt;&gt;"", MASTER!$F$2&lt;=MASTER!$M$2),MASTER!$G$2, IF(AND(MASTER!F6&lt;&gt;"X", MASTER!F6&lt;&gt;"", MASTER!$F$2&lt;=MASTER!$M$2), MASTER!$F$2, IF(AND(MASTER!E6&lt;&gt;"X", MASTER!E6&lt;&gt;"", MASTER!$E$2&lt;=MASTER!$M$2),MASTER!$E$2, IF(MASTER!D6&lt;&gt;"", MASTER!D6,""))))))))</f>
        <v>45908</v>
      </c>
      <c r="I5" s="8" t="s">
        <v>12</v>
      </c>
      <c r="J5" s="27" t="b">
        <f ca="1">IFERROR(IF(H5="NEW HIRE",FALSE,IF(AND((H5-G5)&lt;=1),($P$2-H5)&lt;=1)), "")</f>
        <v>0</v>
      </c>
      <c r="K5" s="54" t="s">
        <v>19</v>
      </c>
      <c r="L5" s="30" t="str">
        <f ca="1">IFERROR(IF(AND(MASTER!$K$1=MASTER!$N$2,MASTER!K6="X"),"",IF(AND(MASTER!$J$1=MASTER!$N$2,MASTER!J6="X"),"",IF(AND(MASTER!$I$1=MASTER!$N$2,MASTER!I6="X"),"",IF(AND(MASTER!$H$1=MASTER!$N$2,MASTER!H6="X"),"",IF(AND(MASTER!$G$1=MASTER!$N$2,MASTER!G6="X"),"",IF(AND(MASTER!$F$1=MASTER!$N$2,MASTER!F6="X"),"",IF(AND(MASTER!$E$1=MASTER!$N$2,MASTER!E6="X"),"",IF(AND($Q$2&lt;&gt;D5,$Q$2&lt;&gt;E5,$Q$2&lt;&gt;F5,I5="6 to 2",J5=FALSE,K5=FALSE),B5,"")))))))), "")</f>
        <v/>
      </c>
      <c r="M5" s="34" t="str">
        <f ca="1">IFERROR(IF(AND(MASTER!$K$1=MASTER!$N$2,MASTER!K6="X"),"",IF(AND(MASTER!$J$1=MASTER!$N$2,MASTER!J6="X"),"",IF(AND(MASTER!$I$1=MASTER!$N$2,MASTER!I6="X"),"",IF(AND(MASTER!$H$1=MASTER!$N$2,MASTER!H6="X"),"",IF(AND(MASTER!$G$1=MASTER!$N$2,MASTER!G6="X"),"",IF(AND(MASTER!$F$1=MASTER!$N$2,MASTER!F6="X"),"",IF(AND(MASTER!$E$1=MASTER!$N$2,MASTER!E6="X"),"",IF(AND($Q$2&lt;&gt;D5,$Q$2&lt;&gt;E5,$Q$2&lt;&gt;F5,I5="2 to 10",J5=FALSE,K5=FALSE),B5,"")))))))), "")</f>
        <v/>
      </c>
      <c r="N5" s="44" t="str">
        <f ca="1">IFERROR(IF(AND(MASTER!$K$1=MASTER!$N$2,MASTER!K6="X"),"",IF(AND(MASTER!$J$1=MASTER!$N$2,MASTER!J6="X"),"",IF(AND(MASTER!$I$1=MASTER!$N$2,MASTER!I6="X"),"",IF(AND(MASTER!$H$1=MASTER!$N$2,MASTER!H6="X"),"",IF(AND(MASTER!$G$1=MASTER!$N$2,MASTER!G6="X"),"",IF(AND(MASTER!$F$1=MASTER!$N$2,MASTER!F6="X"),"",IF(AND(MASTER!$E$1=MASTER!$N$2,MASTER!E6="X"),"",IF(AND($Q$2&lt;&gt;D5,$Q$2&lt;&gt;E5,$Q$2&lt;&gt;F5,I5="10 to 6",J5=FALSE,K5=FALSE),B5,"")))))))), "")</f>
        <v/>
      </c>
      <c r="P5" s="7"/>
      <c r="S5" s="16">
        <v>4</v>
      </c>
      <c r="T5" s="17" t="str">
        <f t="array" aca="1" ref="T5" ca="1">INDIRECT("L"&amp;SMALL(IF(LEN($L$1:$L204)=0, "", ROW($1:$200)), ROW(M6)))</f>
        <v>Drew Garcia</v>
      </c>
      <c r="V5" t="s">
        <v>6</v>
      </c>
    </row>
    <row r="6" spans="1:26" ht="16" thickBot="1" x14ac:dyDescent="0.25">
      <c r="A6">
        <v>5</v>
      </c>
      <c r="B6" s="51" t="s">
        <v>40</v>
      </c>
      <c r="C6" s="27">
        <f ca="1">IFERROR(IF(H6="NEW HIRE",100,IF($P$2-H6&lt;=100,$P$2-H6,IF($P$2-H6&gt;=365,0,))), 0)</f>
        <v>0</v>
      </c>
      <c r="D6" t="s">
        <v>8</v>
      </c>
      <c r="E6" t="s">
        <v>3</v>
      </c>
      <c r="F6" t="s">
        <v>4</v>
      </c>
      <c r="G6" s="38">
        <f ca="1">IF(AND(MASTER!K6&lt;&gt;"X",MASTER!K6&lt;&gt;"",MASTER!$K$2&lt;&gt;BUCKET!H6, MASTER!$K$2&lt;=MASTER!$M$2),MASTER!$K$2,IF(AND(MASTER!J6&lt;&gt;"X",MASTER!J6&lt;&gt;"",MASTER!$J$2&lt;&gt;BUCKET!H6, MASTER!$J$2&lt;=MASTER!$M$2),MASTER!$J$2,IF(AND(MASTER!I6&lt;&gt;"X",MASTER!I6&lt;&gt;"",MASTER!$I$2&lt;&gt;BUCKET!H6, MASTER!$I$2&lt;=MASTER!$M$2),MASTER!$I$2, IF(AND(MASTER!H6&lt;&gt;"X", MASTER!H6&lt;&gt;"", MASTER!$H$2&lt;&gt;BUCKET!H6, MASTER!$H$2&lt;=MASTER!$M$2), MASTER!$H$2, IF(AND(MASTER!G6&lt;&gt;"X", MASTER!G6&lt;&gt;"", MASTER!$G$2&lt;&gt;BUCKET!H6, MASTER!$G$2&lt;=MASTER!$M$2), MASTER!$H$2, IF(AND(MASTER!G6&lt;&gt;"X", MASTER!G6&lt;&gt;"", MASTER!$G$2&lt;&gt;BUCKET!H6, MASTER!$F$2&lt;=MASTER!$M$2), MASTER!$G$2, IF(AND(MASTER!F6&lt;&gt;"X", MASTER!F6&lt;&gt;"", MASTER!$F$2&lt;&gt;BUCKET!H6, MASTER!$F$2&lt;=MASTER!$M$2), MASTER!$F$2, IF(AND(MASTER!E6&lt;&gt;"X", MASTER!E6&lt;&gt;"", MASTER!$E$2&lt;&gt;BUCKET!H6, MASTER!$E$2&lt;=MASTER!$M$2), MASTER!$E$2, IF(AND( MASTER!D6&lt;&gt;"", MASTER!D6&lt;&gt;BUCKET!H6), MASTER!D6, IF(AND(MASTER!C6&lt;&gt;"X", MASTER!C6&lt;&gt;""), MASTER!C6))))))))))</f>
        <v>45909</v>
      </c>
      <c r="H6" s="35">
        <f ca="1">IF(AND(MASTER!K7&lt;&gt;"X", MASTER!K7&lt;&gt;"", MASTER!$K$2&lt;=MASTER!$M$2), MASTER!$K$2, IF(AND(MASTER!J7&lt;&gt;"X", MASTER!J7&lt;&gt;"", MASTER!$J$2&lt;=MASTER!$M$2),MASTER!$J$2, IF(AND(MASTER!I7&lt;&gt;"X", MASTER!I7&lt;&gt;"", MASTER!$I$2&lt;=MASTER!$M$2),MASTER!$I$2, IF(AND(MASTER!H7&lt;&gt;"X", MASTER!H7&lt;&gt;"", MASTER!$H$2&lt;=MASTER!$M$2),MASTER!$H$2, IF(AND(MASTER!G7&lt;&gt;"X", MASTER!G7&lt;&gt;"", MASTER!$F$2&lt;=MASTER!$M$2),MASTER!$G$2, IF(AND(MASTER!F7&lt;&gt;"X", MASTER!F7&lt;&gt;"", MASTER!$F$2&lt;=MASTER!$M$2), MASTER!$F$2, IF(AND(MASTER!E7&lt;&gt;"X", MASTER!E7&lt;&gt;"", MASTER!$E$2&lt;=MASTER!$M$2),MASTER!$E$2, IF(MASTER!D7&lt;&gt;"", MASTER!D7,""))))))))</f>
        <v>44180</v>
      </c>
      <c r="I6" s="8" t="s">
        <v>13</v>
      </c>
      <c r="J6" s="27" t="b">
        <f ca="1">IFERROR(IF(H6="NEW HIRE",FALSE,IF(AND((H6-G6)&lt;=1),($P$2-H6)&lt;=1)), "")</f>
        <v>0</v>
      </c>
      <c r="K6" s="54" t="b">
        <v>0</v>
      </c>
      <c r="L6" s="30" t="str">
        <f ca="1">IFERROR(IF(AND(MASTER!$K$1=MASTER!$N$2,MASTER!K6="X"),"",IF(AND(MASTER!$J$1=MASTER!$N$2,MASTER!J6="X"),"",IF(AND(MASTER!$I$1=MASTER!$N$2,MASTER!I6="X"),"",IF(AND(MASTER!$H$1=MASTER!$N$2,MASTER!H6="X"),"",IF(AND(MASTER!$G$1=MASTER!$N$2,MASTER!G6="X"),"",IF(AND(MASTER!$F$1=MASTER!$N$2,MASTER!F6="X"),"",IF(AND(MASTER!$E$1=MASTER!$N$2,MASTER!E6="X"),"",IF(AND($Q$2&lt;&gt;D6,$Q$2&lt;&gt;E6,$Q$2&lt;&gt;F6,I6="6 to 2",J6=FALSE,K6=FALSE),B6,"")))))))), "")</f>
        <v>Morgan Thomas</v>
      </c>
      <c r="M6" s="34" t="str">
        <f ca="1">IFERROR(IF(AND(MASTER!$K$1=MASTER!$N$2,MASTER!K6="X"),"",IF(AND(MASTER!$J$1=MASTER!$N$2,MASTER!J6="X"),"",IF(AND(MASTER!$I$1=MASTER!$N$2,MASTER!I6="X"),"",IF(AND(MASTER!$H$1=MASTER!$N$2,MASTER!H6="X"),"",IF(AND(MASTER!$G$1=MASTER!$N$2,MASTER!G6="X"),"",IF(AND(MASTER!$F$1=MASTER!$N$2,MASTER!F6="X"),"",IF(AND(MASTER!$E$1=MASTER!$N$2,MASTER!E6="X"),"",IF(AND($Q$2&lt;&gt;D6,$Q$2&lt;&gt;E6,$Q$2&lt;&gt;F6,I6="2 to 10",J6=FALSE,K6=FALSE),B6,"")))))))), "")</f>
        <v/>
      </c>
      <c r="N6" s="44" t="str">
        <f ca="1">IFERROR(IF(AND(MASTER!$K$1=MASTER!$N$2,MASTER!K6="X"),"",IF(AND(MASTER!$J$1=MASTER!$N$2,MASTER!J6="X"),"",IF(AND(MASTER!$I$1=MASTER!$N$2,MASTER!I6="X"),"",IF(AND(MASTER!$H$1=MASTER!$N$2,MASTER!H6="X"),"",IF(AND(MASTER!$G$1=MASTER!$N$2,MASTER!G6="X"),"",IF(AND(MASTER!$F$1=MASTER!$N$2,MASTER!F6="X"),"",IF(AND(MASTER!$E$1=MASTER!$N$2,MASTER!E6="X"),"",IF(AND($Q$2&lt;&gt;D6,$Q$2&lt;&gt;E6,$Q$2&lt;&gt;F6,I6="10 to 6",J6=FALSE,K6=FALSE),B6,"")))))))), "")</f>
        <v/>
      </c>
      <c r="S6" s="16">
        <v>5</v>
      </c>
      <c r="T6" s="17" t="str">
        <f t="array" aca="1" ref="T6" ca="1">INDIRECT("L"&amp;SMALL(IF(LEN($L$1:$L205)=0, "", ROW($1:$200)), ROW(M7)))</f>
        <v>Chris Davis</v>
      </c>
      <c r="V6" t="s">
        <v>2</v>
      </c>
    </row>
    <row r="7" spans="1:26" ht="16" thickBot="1" x14ac:dyDescent="0.25">
      <c r="A7">
        <v>6</v>
      </c>
      <c r="B7" s="51" t="s">
        <v>41</v>
      </c>
      <c r="C7" s="27">
        <f ca="1">IFERROR(IF(H7="NEW HIRE",100,IF($P$2-H7&lt;=100,$P$2-H7,IF($P$2-H7&gt;=365,0,))), 0)</f>
        <v>0</v>
      </c>
      <c r="D7" t="s">
        <v>6</v>
      </c>
      <c r="E7" t="s">
        <v>2</v>
      </c>
      <c r="F7" t="s">
        <v>7</v>
      </c>
      <c r="G7" s="38">
        <f ca="1">IF(AND(MASTER!K7&lt;&gt;"X",MASTER!K7&lt;&gt;"",MASTER!$K$2&lt;&gt;BUCKET!H7, MASTER!$K$2&lt;=MASTER!$M$2),MASTER!$K$2,IF(AND(MASTER!J7&lt;&gt;"X",MASTER!J7&lt;&gt;"",MASTER!$J$2&lt;&gt;BUCKET!H7, MASTER!$J$2&lt;=MASTER!$M$2),MASTER!$J$2,IF(AND(MASTER!I7&lt;&gt;"X",MASTER!I7&lt;&gt;"",MASTER!$I$2&lt;&gt;BUCKET!H7, MASTER!$I$2&lt;=MASTER!$M$2),MASTER!$I$2, IF(AND(MASTER!H7&lt;&gt;"X", MASTER!H7&lt;&gt;"", MASTER!$H$2&lt;&gt;BUCKET!H7, MASTER!$H$2&lt;=MASTER!$M$2), MASTER!$H$2, IF(AND(MASTER!G7&lt;&gt;"X", MASTER!G7&lt;&gt;"", MASTER!$G$2&lt;&gt;BUCKET!H7, MASTER!$G$2&lt;=MASTER!$M$2), MASTER!$H$2, IF(AND(MASTER!G7&lt;&gt;"X", MASTER!G7&lt;&gt;"", MASTER!$G$2&lt;&gt;BUCKET!H7, MASTER!$F$2&lt;=MASTER!$M$2), MASTER!$G$2, IF(AND(MASTER!F7&lt;&gt;"X", MASTER!F7&lt;&gt;"", MASTER!$F$2&lt;&gt;BUCKET!H7, MASTER!$F$2&lt;=MASTER!$M$2), MASTER!$F$2, IF(AND(MASTER!E7&lt;&gt;"X", MASTER!E7&lt;&gt;"", MASTER!$E$2&lt;&gt;BUCKET!H7, MASTER!$E$2&lt;=MASTER!$M$2), MASTER!$E$2, IF(AND( MASTER!D7&lt;&gt;"", MASTER!D7&lt;&gt;BUCKET!H7), MASTER!D7, IF(AND(MASTER!C7&lt;&gt;"X", MASTER!C7&lt;&gt;""), MASTER!C7))))))))))</f>
        <v>44180</v>
      </c>
      <c r="H7" s="35">
        <f ca="1">IF(AND(MASTER!K8&lt;&gt;"X", MASTER!K8&lt;&gt;"", MASTER!$K$2&lt;=MASTER!$M$2), MASTER!$K$2, IF(AND(MASTER!J8&lt;&gt;"X", MASTER!J8&lt;&gt;"", MASTER!$J$2&lt;=MASTER!$M$2),MASTER!$J$2, IF(AND(MASTER!I8&lt;&gt;"X", MASTER!I8&lt;&gt;"", MASTER!$I$2&lt;=MASTER!$M$2),MASTER!$I$2, IF(AND(MASTER!H8&lt;&gt;"X", MASTER!H8&lt;&gt;"", MASTER!$H$2&lt;=MASTER!$M$2),MASTER!$H$2, IF(AND(MASTER!G8&lt;&gt;"X", MASTER!G8&lt;&gt;"", MASTER!$F$2&lt;=MASTER!$M$2),MASTER!$G$2, IF(AND(MASTER!F8&lt;&gt;"X", MASTER!F8&lt;&gt;"", MASTER!$F$2&lt;=MASTER!$M$2), MASTER!$F$2, IF(AND(MASTER!E8&lt;&gt;"X", MASTER!E8&lt;&gt;"", MASTER!$E$2&lt;=MASTER!$M$2),MASTER!$E$2, IF(MASTER!D8&lt;&gt;"", MASTER!D8,""))))))))</f>
        <v>44181</v>
      </c>
      <c r="I7" s="8" t="s">
        <v>13</v>
      </c>
      <c r="J7" s="27" t="b">
        <f ca="1">IFERROR(IF(H7="NEW HIRE",FALSE,IF(AND((H7-G7)&lt;=1),($P$2-H7)&lt;=1)), "")</f>
        <v>0</v>
      </c>
      <c r="K7" s="54" t="b">
        <v>0</v>
      </c>
      <c r="L7" s="30" t="str">
        <f ca="1">IFERROR(IF(AND(MASTER!$K$1=MASTER!$N$2,MASTER!K7="X"),"",IF(AND(MASTER!$J$1=MASTER!$N$2,MASTER!J7="X"),"",IF(AND(MASTER!$I$1=MASTER!$N$2,MASTER!I7="X"),"",IF(AND(MASTER!$H$1=MASTER!$N$2,MASTER!H7="X"),"",IF(AND(MASTER!$G$1=MASTER!$N$2,MASTER!G7="X"),"",IF(AND(MASTER!$F$1=MASTER!$N$2,MASTER!F7="X"),"",IF(AND(MASTER!$E$1=MASTER!$N$2,MASTER!E7="X"),"",IF(AND($Q$2&lt;&gt;D7,$Q$2&lt;&gt;E7,$Q$2&lt;&gt;F7,I7="6 to 2",J7=FALSE,K7=FALSE),B7,"")))))))), "")</f>
        <v/>
      </c>
      <c r="M7" s="34" t="str">
        <f ca="1">IFERROR(IF(AND(MASTER!$K$1=MASTER!$N$2,MASTER!K7="X"),"",IF(AND(MASTER!$J$1=MASTER!$N$2,MASTER!J7="X"),"",IF(AND(MASTER!$I$1=MASTER!$N$2,MASTER!I7="X"),"",IF(AND(MASTER!$H$1=MASTER!$N$2,MASTER!H7="X"),"",IF(AND(MASTER!$G$1=MASTER!$N$2,MASTER!G7="X"),"",IF(AND(MASTER!$F$1=MASTER!$N$2,MASTER!F7="X"),"",IF(AND(MASTER!$E$1=MASTER!$N$2,MASTER!E7="X"),"",IF(AND($Q$2&lt;&gt;D7,$Q$2&lt;&gt;E7,$Q$2&lt;&gt;F7,I7="2 to 10",J7=FALSE,K7=FALSE),B7,"")))))))), "")</f>
        <v/>
      </c>
      <c r="N7" s="44" t="str">
        <f ca="1">IFERROR(IF(AND(MASTER!$K$1=MASTER!$N$2,MASTER!K7="X"),"",IF(AND(MASTER!$J$1=MASTER!$N$2,MASTER!J7="X"),"",IF(AND(MASTER!$I$1=MASTER!$N$2,MASTER!I7="X"),"",IF(AND(MASTER!$H$1=MASTER!$N$2,MASTER!H7="X"),"",IF(AND(MASTER!$G$1=MASTER!$N$2,MASTER!G7="X"),"",IF(AND(MASTER!$F$1=MASTER!$N$2,MASTER!F7="X"),"",IF(AND(MASTER!$E$1=MASTER!$N$2,MASTER!E7="X"),"",IF(AND($Q$2&lt;&gt;D7,$Q$2&lt;&gt;E7,$Q$2&lt;&gt;F7,I7="10 to 6",J7=FALSE,K7=FALSE),B7,"")))))))), "")</f>
        <v/>
      </c>
      <c r="P7" s="5"/>
      <c r="S7" s="16">
        <v>6</v>
      </c>
      <c r="T7" s="17" t="str">
        <f t="array" aca="1" ref="T7" ca="1">INDIRECT("L"&amp;SMALL(IF(LEN($L$1:$L206)=0, "", ROW($1:$200)), ROW(M8)))</f>
        <v>Drew Jones</v>
      </c>
      <c r="V7" t="s">
        <v>7</v>
      </c>
    </row>
    <row r="8" spans="1:26" ht="16" thickBot="1" x14ac:dyDescent="0.25">
      <c r="A8">
        <v>7</v>
      </c>
      <c r="B8" s="51" t="s">
        <v>42</v>
      </c>
      <c r="C8" s="27">
        <f ca="1">IFERROR(IF(H8="NEW HIRE",100,IF($P$2-H8&lt;=100,$P$2-H8,IF($P$2-H8&gt;=365,0,))), 0)</f>
        <v>0</v>
      </c>
      <c r="D8" t="s">
        <v>6</v>
      </c>
      <c r="E8" t="s">
        <v>2</v>
      </c>
      <c r="F8" t="s">
        <v>7</v>
      </c>
      <c r="G8" s="38">
        <f ca="1">IF(AND(MASTER!K8&lt;&gt;"X",MASTER!K8&lt;&gt;"",MASTER!$K$2&lt;&gt;BUCKET!H8, MASTER!$K$2&lt;=MASTER!$M$2),MASTER!$K$2,IF(AND(MASTER!J8&lt;&gt;"X",MASTER!J8&lt;&gt;"",MASTER!$J$2&lt;&gt;BUCKET!H8, MASTER!$J$2&lt;=MASTER!$M$2),MASTER!$J$2,IF(AND(MASTER!I8&lt;&gt;"X",MASTER!I8&lt;&gt;"",MASTER!$I$2&lt;&gt;BUCKET!H8, MASTER!$I$2&lt;=MASTER!$M$2),MASTER!$I$2, IF(AND(MASTER!H8&lt;&gt;"X", MASTER!H8&lt;&gt;"", MASTER!$H$2&lt;&gt;BUCKET!H8, MASTER!$H$2&lt;=MASTER!$M$2), MASTER!$H$2, IF(AND(MASTER!G8&lt;&gt;"X", MASTER!G8&lt;&gt;"", MASTER!$G$2&lt;&gt;BUCKET!H8, MASTER!$G$2&lt;=MASTER!$M$2), MASTER!$H$2, IF(AND(MASTER!G8&lt;&gt;"X", MASTER!G8&lt;&gt;"", MASTER!$G$2&lt;&gt;BUCKET!H8, MASTER!$F$2&lt;=MASTER!$M$2), MASTER!$G$2, IF(AND(MASTER!F8&lt;&gt;"X", MASTER!F8&lt;&gt;"", MASTER!$F$2&lt;&gt;BUCKET!H8, MASTER!$F$2&lt;=MASTER!$M$2), MASTER!$F$2, IF(AND(MASTER!E8&lt;&gt;"X", MASTER!E8&lt;&gt;"", MASTER!$E$2&lt;&gt;BUCKET!H8, MASTER!$E$2&lt;=MASTER!$M$2), MASTER!$E$2, IF(AND( MASTER!D8&lt;&gt;"", MASTER!D8&lt;&gt;BUCKET!H8), MASTER!D8, IF(AND(MASTER!C8&lt;&gt;"X", MASTER!C8&lt;&gt;""), MASTER!C8))))))))))</f>
        <v>44181</v>
      </c>
      <c r="H8" s="35">
        <f ca="1">IF(AND(MASTER!K9&lt;&gt;"X", MASTER!K9&lt;&gt;"", MASTER!$K$2&lt;=MASTER!$M$2), MASTER!$K$2, IF(AND(MASTER!J9&lt;&gt;"X", MASTER!J9&lt;&gt;"", MASTER!$J$2&lt;=MASTER!$M$2),MASTER!$J$2, IF(AND(MASTER!I9&lt;&gt;"X", MASTER!I9&lt;&gt;"", MASTER!$I$2&lt;=MASTER!$M$2),MASTER!$I$2, IF(AND(MASTER!H9&lt;&gt;"X", MASTER!H9&lt;&gt;"", MASTER!$H$2&lt;=MASTER!$M$2),MASTER!$H$2, IF(AND(MASTER!G9&lt;&gt;"X", MASTER!G9&lt;&gt;"", MASTER!$F$2&lt;=MASTER!$M$2),MASTER!$G$2, IF(AND(MASTER!F9&lt;&gt;"X", MASTER!F9&lt;&gt;"", MASTER!$F$2&lt;=MASTER!$M$2), MASTER!$F$2, IF(AND(MASTER!E9&lt;&gt;"X", MASTER!E9&lt;&gt;"", MASTER!$E$2&lt;=MASTER!$M$2),MASTER!$E$2, IF(MASTER!D9&lt;&gt;"", MASTER!D9,""))))))))</f>
        <v>44182</v>
      </c>
      <c r="I8" s="8" t="s">
        <v>16</v>
      </c>
      <c r="J8" s="27" t="b">
        <f ca="1">IFERROR(IF(H8="NEW HIRE",FALSE,IF(AND((H8-G8)&lt;=1),($P$2-H8)&lt;=1)), "")</f>
        <v>0</v>
      </c>
      <c r="K8" s="54" t="b">
        <v>0</v>
      </c>
      <c r="L8" s="30" t="str">
        <f ca="1">IFERROR(IF(AND(MASTER!$K$1=MASTER!$N$2,MASTER!K8="X"),"",IF(AND(MASTER!$J$1=MASTER!$N$2,MASTER!J8="X"),"",IF(AND(MASTER!$I$1=MASTER!$N$2,MASTER!I8="X"),"",IF(AND(MASTER!$H$1=MASTER!$N$2,MASTER!H8="X"),"",IF(AND(MASTER!$G$1=MASTER!$N$2,MASTER!G8="X"),"",IF(AND(MASTER!$F$1=MASTER!$N$2,MASTER!F8="X"),"",IF(AND(MASTER!$E$1=MASTER!$N$2,MASTER!E8="X"),"",IF(AND($Q$2&lt;&gt;D8,$Q$2&lt;&gt;E8,$Q$2&lt;&gt;F8,I8="6 to 2",J8=FALSE,K8=FALSE),B8,"")))))))), "")</f>
        <v/>
      </c>
      <c r="M8" s="34" t="str">
        <f ca="1">IFERROR(IF(AND(MASTER!$K$1=MASTER!$N$2,MASTER!K8="X"),"",IF(AND(MASTER!$J$1=MASTER!$N$2,MASTER!J8="X"),"",IF(AND(MASTER!$I$1=MASTER!$N$2,MASTER!I8="X"),"",IF(AND(MASTER!$H$1=MASTER!$N$2,MASTER!H8="X"),"",IF(AND(MASTER!$G$1=MASTER!$N$2,MASTER!G8="X"),"",IF(AND(MASTER!$F$1=MASTER!$N$2,MASTER!F8="X"),"",IF(AND(MASTER!$E$1=MASTER!$N$2,MASTER!E8="X"),"",IF(AND($Q$2&lt;&gt;D8,$Q$2&lt;&gt;E8,$Q$2&lt;&gt;F8,I8="2 to 10",J8=FALSE,K8=FALSE),B8,"")))))))), "")</f>
        <v/>
      </c>
      <c r="N8" s="44" t="str">
        <f ca="1">IFERROR(IF(AND(MASTER!$K$1=MASTER!$N$2,MASTER!K8="X"),"",IF(AND(MASTER!$J$1=MASTER!$N$2,MASTER!J8="X"),"",IF(AND(MASTER!$I$1=MASTER!$N$2,MASTER!I8="X"),"",IF(AND(MASTER!$H$1=MASTER!$N$2,MASTER!H8="X"),"",IF(AND(MASTER!$G$1=MASTER!$N$2,MASTER!G8="X"),"",IF(AND(MASTER!$F$1=MASTER!$N$2,MASTER!F8="X"),"",IF(AND(MASTER!$E$1=MASTER!$N$2,MASTER!E8="X"),"",IF(AND($Q$2&lt;&gt;D8,$Q$2&lt;&gt;E8,$Q$2&lt;&gt;F8,I8="10 to 6",J8=FALSE,K8=FALSE),B8,"")))))))), "")</f>
        <v/>
      </c>
      <c r="S8" s="16">
        <v>7</v>
      </c>
      <c r="T8" s="17" t="str">
        <f t="array" aca="1" ref="T8" ca="1">INDIRECT("L"&amp;SMALL(IF(LEN($L$1:$L207)=0, "", ROW($1:$200)), ROW(M9)))</f>
        <v>Rowan White</v>
      </c>
      <c r="V8" t="s">
        <v>8</v>
      </c>
    </row>
    <row r="9" spans="1:26" ht="16" thickBot="1" x14ac:dyDescent="0.25">
      <c r="A9">
        <v>8</v>
      </c>
      <c r="B9" s="51" t="s">
        <v>43</v>
      </c>
      <c r="C9" s="27">
        <f ca="1">IFERROR(IF(H9="NEW HIRE",100,IF($P$2-H9&lt;=100,$P$2-H9,IF($P$2-H9&gt;=365,0,))), 0)</f>
        <v>0</v>
      </c>
      <c r="D9" t="s">
        <v>7</v>
      </c>
      <c r="E9" t="s">
        <v>8</v>
      </c>
      <c r="F9" t="s">
        <v>3</v>
      </c>
      <c r="G9" s="38">
        <f ca="1">IF(AND(MASTER!K9&lt;&gt;"X",MASTER!K9&lt;&gt;"",MASTER!$K$2&lt;&gt;BUCKET!H9, MASTER!$K$2&lt;=MASTER!$M$2),MASTER!$K$2,IF(AND(MASTER!J9&lt;&gt;"X",MASTER!J9&lt;&gt;"",MASTER!$J$2&lt;&gt;BUCKET!H9, MASTER!$J$2&lt;=MASTER!$M$2),MASTER!$J$2,IF(AND(MASTER!I9&lt;&gt;"X",MASTER!I9&lt;&gt;"",MASTER!$I$2&lt;&gt;BUCKET!H9, MASTER!$I$2&lt;=MASTER!$M$2),MASTER!$I$2, IF(AND(MASTER!H9&lt;&gt;"X", MASTER!H9&lt;&gt;"", MASTER!$H$2&lt;&gt;BUCKET!H9, MASTER!$H$2&lt;=MASTER!$M$2), MASTER!$H$2, IF(AND(MASTER!G9&lt;&gt;"X", MASTER!G9&lt;&gt;"", MASTER!$G$2&lt;&gt;BUCKET!H9, MASTER!$G$2&lt;=MASTER!$M$2), MASTER!$H$2, IF(AND(MASTER!G9&lt;&gt;"X", MASTER!G9&lt;&gt;"", MASTER!$G$2&lt;&gt;BUCKET!H9, MASTER!$F$2&lt;=MASTER!$M$2), MASTER!$G$2, IF(AND(MASTER!F9&lt;&gt;"X", MASTER!F9&lt;&gt;"", MASTER!$F$2&lt;&gt;BUCKET!H9, MASTER!$F$2&lt;=MASTER!$M$2), MASTER!$F$2, IF(AND(MASTER!E9&lt;&gt;"X", MASTER!E9&lt;&gt;"", MASTER!$E$2&lt;&gt;BUCKET!H9, MASTER!$E$2&lt;=MASTER!$M$2), MASTER!$E$2, IF(AND( MASTER!D9&lt;&gt;"", MASTER!D9&lt;&gt;BUCKET!H9), MASTER!D9, IF(AND(MASTER!C9&lt;&gt;"X", MASTER!C9&lt;&gt;""), MASTER!C9))))))))))</f>
        <v>44182</v>
      </c>
      <c r="H9" s="35">
        <f ca="1">IF(AND(MASTER!K10&lt;&gt;"X", MASTER!K10&lt;&gt;"", MASTER!$K$2&lt;=MASTER!$M$2), MASTER!$K$2, IF(AND(MASTER!J10&lt;&gt;"X", MASTER!J10&lt;&gt;"", MASTER!$J$2&lt;=MASTER!$M$2),MASTER!$J$2, IF(AND(MASTER!I10&lt;&gt;"X", MASTER!I10&lt;&gt;"", MASTER!$I$2&lt;=MASTER!$M$2),MASTER!$I$2, IF(AND(MASTER!H10&lt;&gt;"X", MASTER!H10&lt;&gt;"", MASTER!$H$2&lt;=MASTER!$M$2),MASTER!$H$2, IF(AND(MASTER!G10&lt;&gt;"X", MASTER!G10&lt;&gt;"", MASTER!$F$2&lt;=MASTER!$M$2),MASTER!$G$2, IF(AND(MASTER!F10&lt;&gt;"X", MASTER!F10&lt;&gt;"", MASTER!$F$2&lt;=MASTER!$M$2), MASTER!$F$2, IF(AND(MASTER!E10&lt;&gt;"X", MASTER!E10&lt;&gt;"", MASTER!$E$2&lt;=MASTER!$M$2),MASTER!$E$2, IF(MASTER!D10&lt;&gt;"", MASTER!D10,""))))))))</f>
        <v>45911</v>
      </c>
      <c r="I9" s="8" t="s">
        <v>12</v>
      </c>
      <c r="J9" s="27" t="b">
        <f ca="1">IFERROR(IF(H9="NEW HIRE",FALSE,IF(AND((H9-G9)&lt;=1),($P$2-H9)&lt;=1)), "")</f>
        <v>0</v>
      </c>
      <c r="K9" s="54" t="b">
        <v>0</v>
      </c>
      <c r="L9" s="30" t="str">
        <f ca="1">IFERROR(IF(AND(MASTER!$K$1=MASTER!$N$2,MASTER!K9="X"),"",IF(AND(MASTER!$J$1=MASTER!$N$2,MASTER!J9="X"),"",IF(AND(MASTER!$I$1=MASTER!$N$2,MASTER!I9="X"),"",IF(AND(MASTER!$H$1=MASTER!$N$2,MASTER!H9="X"),"",IF(AND(MASTER!$G$1=MASTER!$N$2,MASTER!G9="X"),"",IF(AND(MASTER!$F$1=MASTER!$N$2,MASTER!F9="X"),"",IF(AND(MASTER!$E$1=MASTER!$N$2,MASTER!E9="X"),"",IF(AND($Q$2&lt;&gt;D9,$Q$2&lt;&gt;E9,$Q$2&lt;&gt;F9,I9="6 to 2",J9=FALSE,K9=FALSE),B9,"")))))))), "")</f>
        <v/>
      </c>
      <c r="M9" s="34" t="str">
        <f ca="1">IFERROR(IF(AND(MASTER!$K$1=MASTER!$N$2,MASTER!K9="X"),"",IF(AND(MASTER!$J$1=MASTER!$N$2,MASTER!J9="X"),"",IF(AND(MASTER!$I$1=MASTER!$N$2,MASTER!I9="X"),"",IF(AND(MASTER!$H$1=MASTER!$N$2,MASTER!H9="X"),"",IF(AND(MASTER!$G$1=MASTER!$N$2,MASTER!G9="X"),"",IF(AND(MASTER!$F$1=MASTER!$N$2,MASTER!F9="X"),"",IF(AND(MASTER!$E$1=MASTER!$N$2,MASTER!E9="X"),"",IF(AND($Q$2&lt;&gt;D9,$Q$2&lt;&gt;E9,$Q$2&lt;&gt;F9,I9="2 to 10",J9=FALSE,K9=FALSE),B9,"")))))))), "")</f>
        <v>Peyton Johnson</v>
      </c>
      <c r="N9" s="44" t="str">
        <f ca="1">IFERROR(IF(AND(MASTER!$K$1=MASTER!$N$2,MASTER!K9="X"),"",IF(AND(MASTER!$J$1=MASTER!$N$2,MASTER!J9="X"),"",IF(AND(MASTER!$I$1=MASTER!$N$2,MASTER!I9="X"),"",IF(AND(MASTER!$H$1=MASTER!$N$2,MASTER!H9="X"),"",IF(AND(MASTER!$G$1=MASTER!$N$2,MASTER!G9="X"),"",IF(AND(MASTER!$F$1=MASTER!$N$2,MASTER!F9="X"),"",IF(AND(MASTER!$E$1=MASTER!$N$2,MASTER!E9="X"),"",IF(AND($Q$2&lt;&gt;D9,$Q$2&lt;&gt;E9,$Q$2&lt;&gt;F9,I9="10 to 6",J9=FALSE,K9=FALSE),B9,"")))))))), "")</f>
        <v/>
      </c>
      <c r="S9" s="16">
        <v>8</v>
      </c>
      <c r="T9" s="17" t="str">
        <f t="array" aca="1" ref="T9" ca="1">INDIRECT("L"&amp;SMALL(IF(LEN($L$1:$L208)=0, "", ROW($1:$200)), ROW(M10)))</f>
        <v>Riley Jones</v>
      </c>
    </row>
    <row r="10" spans="1:26" ht="16" thickBot="1" x14ac:dyDescent="0.25">
      <c r="A10">
        <v>9</v>
      </c>
      <c r="B10" s="51" t="s">
        <v>44</v>
      </c>
      <c r="C10" s="27">
        <f ca="1">IFERROR(IF(H10="NEW HIRE",100,IF($P$2-H10&lt;=100,$P$2-H10,IF($P$2-H10&gt;=365,0,))), 0)</f>
        <v>0</v>
      </c>
      <c r="D10" t="s">
        <v>6</v>
      </c>
      <c r="E10" t="s">
        <v>2</v>
      </c>
      <c r="F10" t="s">
        <v>7</v>
      </c>
      <c r="G10" s="38">
        <f ca="1">IF(AND(MASTER!K10&lt;&gt;"X",MASTER!K10&lt;&gt;"",MASTER!$K$2&lt;&gt;BUCKET!H10, MASTER!$K$2&lt;=MASTER!$M$2),MASTER!$K$2,IF(AND(MASTER!J10&lt;&gt;"X",MASTER!J10&lt;&gt;"",MASTER!$J$2&lt;&gt;BUCKET!H10, MASTER!$J$2&lt;=MASTER!$M$2),MASTER!$J$2,IF(AND(MASTER!I10&lt;&gt;"X",MASTER!I10&lt;&gt;"",MASTER!$I$2&lt;&gt;BUCKET!H10, MASTER!$I$2&lt;=MASTER!$M$2),MASTER!$I$2, IF(AND(MASTER!H10&lt;&gt;"X", MASTER!H10&lt;&gt;"", MASTER!$H$2&lt;&gt;BUCKET!H10, MASTER!$H$2&lt;=MASTER!$M$2), MASTER!$H$2, IF(AND(MASTER!G10&lt;&gt;"X", MASTER!G10&lt;&gt;"", MASTER!$G$2&lt;&gt;BUCKET!H10, MASTER!$G$2&lt;=MASTER!$M$2), MASTER!$H$2, IF(AND(MASTER!G10&lt;&gt;"X", MASTER!G10&lt;&gt;"", MASTER!$G$2&lt;&gt;BUCKET!H10, MASTER!$F$2&lt;=MASTER!$M$2), MASTER!$G$2, IF(AND(MASTER!F10&lt;&gt;"X", MASTER!F10&lt;&gt;"", MASTER!$F$2&lt;&gt;BUCKET!H10, MASTER!$F$2&lt;=MASTER!$M$2), MASTER!$F$2, IF(AND(MASTER!E10&lt;&gt;"X", MASTER!E10&lt;&gt;"", MASTER!$E$2&lt;&gt;BUCKET!H10, MASTER!$E$2&lt;=MASTER!$M$2), MASTER!$E$2, IF(AND( MASTER!D10&lt;&gt;"", MASTER!D10&lt;&gt;BUCKET!H10), MASTER!D10, IF(AND(MASTER!C10&lt;&gt;"X", MASTER!C10&lt;&gt;""), MASTER!C10))))))))))</f>
        <v>45911</v>
      </c>
      <c r="H10" s="35">
        <f ca="1">IF(AND(MASTER!K11&lt;&gt;"X", MASTER!K11&lt;&gt;"", MASTER!$K$2&lt;=MASTER!$M$2), MASTER!$K$2, IF(AND(MASTER!J11&lt;&gt;"X", MASTER!J11&lt;&gt;"", MASTER!$J$2&lt;=MASTER!$M$2),MASTER!$J$2, IF(AND(MASTER!I11&lt;&gt;"X", MASTER!I11&lt;&gt;"", MASTER!$I$2&lt;=MASTER!$M$2),MASTER!$I$2, IF(AND(MASTER!H11&lt;&gt;"X", MASTER!H11&lt;&gt;"", MASTER!$H$2&lt;=MASTER!$M$2),MASTER!$H$2, IF(AND(MASTER!G11&lt;&gt;"X", MASTER!G11&lt;&gt;"", MASTER!$F$2&lt;=MASTER!$M$2),MASTER!$G$2, IF(AND(MASTER!F11&lt;&gt;"X", MASTER!F11&lt;&gt;"", MASTER!$F$2&lt;=MASTER!$M$2), MASTER!$F$2, IF(AND(MASTER!E11&lt;&gt;"X", MASTER!E11&lt;&gt;"", MASTER!$E$2&lt;=MASTER!$M$2),MASTER!$E$2, IF(MASTER!D11&lt;&gt;"", MASTER!D11,""))))))))</f>
        <v>44184</v>
      </c>
      <c r="I10" s="8" t="s">
        <v>12</v>
      </c>
      <c r="J10" s="27" t="b">
        <f ca="1">IFERROR(IF(H10="NEW HIRE",FALSE,IF(AND((H10-G10)&lt;=1),($P$2-H10)&lt;=1)), "")</f>
        <v>0</v>
      </c>
      <c r="K10" s="54" t="b">
        <v>0</v>
      </c>
      <c r="L10" s="30" t="str">
        <f ca="1">IFERROR(IF(AND(MASTER!$K$1=MASTER!$N$2,MASTER!K10="X"),"",IF(AND(MASTER!$J$1=MASTER!$N$2,MASTER!J10="X"),"",IF(AND(MASTER!$I$1=MASTER!$N$2,MASTER!I10="X"),"",IF(AND(MASTER!$H$1=MASTER!$N$2,MASTER!H10="X"),"",IF(AND(MASTER!$G$1=MASTER!$N$2,MASTER!G10="X"),"",IF(AND(MASTER!$F$1=MASTER!$N$2,MASTER!F10="X"),"",IF(AND(MASTER!$E$1=MASTER!$N$2,MASTER!E10="X"),"",IF(AND($Q$2&lt;&gt;D10,$Q$2&lt;&gt;E10,$Q$2&lt;&gt;F10,I10="6 to 2",J10=FALSE,K10=FALSE),B10,"")))))))), "")</f>
        <v/>
      </c>
      <c r="M10" s="34" t="str">
        <f ca="1">IFERROR(IF(AND(MASTER!$K$1=MASTER!$N$2,MASTER!K10="X"),"",IF(AND(MASTER!$J$1=MASTER!$N$2,MASTER!J10="X"),"",IF(AND(MASTER!$I$1=MASTER!$N$2,MASTER!I10="X"),"",IF(AND(MASTER!$H$1=MASTER!$N$2,MASTER!H10="X"),"",IF(AND(MASTER!$G$1=MASTER!$N$2,MASTER!G10="X"),"",IF(AND(MASTER!$F$1=MASTER!$N$2,MASTER!F10="X"),"",IF(AND(MASTER!$E$1=MASTER!$N$2,MASTER!E10="X"),"",IF(AND($Q$2&lt;&gt;D10,$Q$2&lt;&gt;E10,$Q$2&lt;&gt;F10,I10="2 to 10",J10=FALSE,K10=FALSE),B10,"")))))))), "")</f>
        <v/>
      </c>
      <c r="N10" s="44" t="str">
        <f ca="1">IFERROR(IF(AND(MASTER!$K$1=MASTER!$N$2,MASTER!K10="X"),"",IF(AND(MASTER!$J$1=MASTER!$N$2,MASTER!J10="X"),"",IF(AND(MASTER!$I$1=MASTER!$N$2,MASTER!I10="X"),"",IF(AND(MASTER!$H$1=MASTER!$N$2,MASTER!H10="X"),"",IF(AND(MASTER!$G$1=MASTER!$N$2,MASTER!G10="X"),"",IF(AND(MASTER!$F$1=MASTER!$N$2,MASTER!F10="X"),"",IF(AND(MASTER!$E$1=MASTER!$N$2,MASTER!E10="X"),"",IF(AND($Q$2&lt;&gt;D10,$Q$2&lt;&gt;E10,$Q$2&lt;&gt;F10,I10="10 to 6",J10=FALSE,K10=FALSE),B10,"")))))))), "")</f>
        <v/>
      </c>
      <c r="S10" s="16">
        <v>9</v>
      </c>
      <c r="T10" s="17" t="str">
        <f t="array" aca="1" ref="T10" ca="1">INDIRECT("L"&amp;SMALL(IF(LEN($L$1:$L209)=0, "", ROW($1:$200)), ROW(M11)))</f>
        <v>Quinn Miller</v>
      </c>
      <c r="V10" t="s">
        <v>19</v>
      </c>
    </row>
    <row r="11" spans="1:26" ht="16" thickBot="1" x14ac:dyDescent="0.25">
      <c r="A11">
        <v>10</v>
      </c>
      <c r="B11" s="51" t="s">
        <v>45</v>
      </c>
      <c r="C11" s="27">
        <f ca="1">IFERROR(IF(H11="NEW HIRE",100,IF($P$2-H11&lt;=100,$P$2-H11,IF($P$2-H11&gt;=365,0,))), 0)</f>
        <v>0</v>
      </c>
      <c r="D11" t="s">
        <v>6</v>
      </c>
      <c r="E11" t="s">
        <v>2</v>
      </c>
      <c r="F11" t="s">
        <v>7</v>
      </c>
      <c r="G11" s="38">
        <f ca="1">IF(AND(MASTER!K11&lt;&gt;"X",MASTER!K11&lt;&gt;"",MASTER!$K$2&lt;&gt;BUCKET!H11, MASTER!$K$2&lt;=MASTER!$M$2),MASTER!$K$2,IF(AND(MASTER!J11&lt;&gt;"X",MASTER!J11&lt;&gt;"",MASTER!$J$2&lt;&gt;BUCKET!H11, MASTER!$J$2&lt;=MASTER!$M$2),MASTER!$J$2,IF(AND(MASTER!I11&lt;&gt;"X",MASTER!I11&lt;&gt;"",MASTER!$I$2&lt;&gt;BUCKET!H11, MASTER!$I$2&lt;=MASTER!$M$2),MASTER!$I$2, IF(AND(MASTER!H11&lt;&gt;"X", MASTER!H11&lt;&gt;"", MASTER!$H$2&lt;&gt;BUCKET!H11, MASTER!$H$2&lt;=MASTER!$M$2), MASTER!$H$2, IF(AND(MASTER!G11&lt;&gt;"X", MASTER!G11&lt;&gt;"", MASTER!$G$2&lt;&gt;BUCKET!H11, MASTER!$G$2&lt;=MASTER!$M$2), MASTER!$H$2, IF(AND(MASTER!G11&lt;&gt;"X", MASTER!G11&lt;&gt;"", MASTER!$G$2&lt;&gt;BUCKET!H11, MASTER!$F$2&lt;=MASTER!$M$2), MASTER!$G$2, IF(AND(MASTER!F11&lt;&gt;"X", MASTER!F11&lt;&gt;"", MASTER!$F$2&lt;&gt;BUCKET!H11, MASTER!$F$2&lt;=MASTER!$M$2), MASTER!$F$2, IF(AND(MASTER!E11&lt;&gt;"X", MASTER!E11&lt;&gt;"", MASTER!$E$2&lt;&gt;BUCKET!H11, MASTER!$E$2&lt;=MASTER!$M$2), MASTER!$E$2, IF(AND( MASTER!D11&lt;&gt;"", MASTER!D11&lt;&gt;BUCKET!H11), MASTER!D11, IF(AND(MASTER!C11&lt;&gt;"X", MASTER!C11&lt;&gt;""), MASTER!C11))))))))))</f>
        <v>44184</v>
      </c>
      <c r="H11" s="35">
        <f ca="1">IF(AND(MASTER!K12&lt;&gt;"X", MASTER!K12&lt;&gt;"", MASTER!$K$2&lt;=MASTER!$M$2), MASTER!$K$2, IF(AND(MASTER!J12&lt;&gt;"X", MASTER!J12&lt;&gt;"", MASTER!$J$2&lt;=MASTER!$M$2),MASTER!$J$2, IF(AND(MASTER!I12&lt;&gt;"X", MASTER!I12&lt;&gt;"", MASTER!$I$2&lt;=MASTER!$M$2),MASTER!$I$2, IF(AND(MASTER!H12&lt;&gt;"X", MASTER!H12&lt;&gt;"", MASTER!$H$2&lt;=MASTER!$M$2),MASTER!$H$2, IF(AND(MASTER!G12&lt;&gt;"X", MASTER!G12&lt;&gt;"", MASTER!$F$2&lt;=MASTER!$M$2),MASTER!$G$2, IF(AND(MASTER!F12&lt;&gt;"X", MASTER!F12&lt;&gt;"", MASTER!$F$2&lt;=MASTER!$M$2), MASTER!$F$2, IF(AND(MASTER!E12&lt;&gt;"X", MASTER!E12&lt;&gt;"", MASTER!$E$2&lt;=MASTER!$M$2),MASTER!$E$2, IF(MASTER!D12&lt;&gt;"", MASTER!D12,""))))))))</f>
        <v>44185</v>
      </c>
      <c r="I11" s="8" t="s">
        <v>12</v>
      </c>
      <c r="J11" s="27" t="b">
        <f ca="1">IFERROR(IF(H11="NEW HIRE",FALSE,IF(AND((H11-G11)&lt;=1),($P$2-H11)&lt;=1)), "")</f>
        <v>0</v>
      </c>
      <c r="K11" s="54" t="s">
        <v>19</v>
      </c>
      <c r="L11" s="30" t="str">
        <f ca="1">IFERROR(IF(AND(MASTER!$K$1=MASTER!$N$2,MASTER!K11="X"),"",IF(AND(MASTER!$J$1=MASTER!$N$2,MASTER!J11="X"),"",IF(AND(MASTER!$I$1=MASTER!$N$2,MASTER!I11="X"),"",IF(AND(MASTER!$H$1=MASTER!$N$2,MASTER!H11="X"),"",IF(AND(MASTER!$G$1=MASTER!$N$2,MASTER!G11="X"),"",IF(AND(MASTER!$F$1=MASTER!$N$2,MASTER!F11="X"),"",IF(AND(MASTER!$E$1=MASTER!$N$2,MASTER!E11="X"),"",IF(AND($Q$2&lt;&gt;D11,$Q$2&lt;&gt;E11,$Q$2&lt;&gt;F11,I11="6 to 2",J11=FALSE,K11=FALSE),B11,"")))))))), "")</f>
        <v/>
      </c>
      <c r="M11" s="34" t="str">
        <f ca="1">IFERROR(IF(AND(MASTER!$K$1=MASTER!$N$2,MASTER!K11="X"),"",IF(AND(MASTER!$J$1=MASTER!$N$2,MASTER!J11="X"),"",IF(AND(MASTER!$I$1=MASTER!$N$2,MASTER!I11="X"),"",IF(AND(MASTER!$H$1=MASTER!$N$2,MASTER!H11="X"),"",IF(AND(MASTER!$G$1=MASTER!$N$2,MASTER!G11="X"),"",IF(AND(MASTER!$F$1=MASTER!$N$2,MASTER!F11="X"),"",IF(AND(MASTER!$E$1=MASTER!$N$2,MASTER!E11="X"),"",IF(AND($Q$2&lt;&gt;D11,$Q$2&lt;&gt;E11,$Q$2&lt;&gt;F11,I11="2 to 10",J11=FALSE,K11=FALSE),B11,"")))))))), "")</f>
        <v/>
      </c>
      <c r="N11" s="44" t="str">
        <f ca="1">IFERROR(IF(AND(MASTER!$K$1=MASTER!$N$2,MASTER!K11="X"),"",IF(AND(MASTER!$J$1=MASTER!$N$2,MASTER!J11="X"),"",IF(AND(MASTER!$I$1=MASTER!$N$2,MASTER!I11="X"),"",IF(AND(MASTER!$H$1=MASTER!$N$2,MASTER!H11="X"),"",IF(AND(MASTER!$G$1=MASTER!$N$2,MASTER!G11="X"),"",IF(AND(MASTER!$F$1=MASTER!$N$2,MASTER!F11="X"),"",IF(AND(MASTER!$E$1=MASTER!$N$2,MASTER!E11="X"),"",IF(AND($Q$2&lt;&gt;D11,$Q$2&lt;&gt;E11,$Q$2&lt;&gt;F11,I11="10 to 6",J11=FALSE,K11=FALSE),B11,"")))))))), "")</f>
        <v/>
      </c>
      <c r="P11" s="5"/>
      <c r="S11" s="18">
        <v>10</v>
      </c>
      <c r="T11" s="19" t="str">
        <f t="array" aca="1" ref="T11" ca="1">INDIRECT("L"&amp;SMALL(IF(LEN($L$1:$L210)=0, "", ROW($1:$200)), ROW(M12)))</f>
        <v>Elliot Lopez</v>
      </c>
      <c r="V11" s="4" t="b">
        <v>0</v>
      </c>
    </row>
    <row r="12" spans="1:26" ht="15" customHeight="1" thickBot="1" x14ac:dyDescent="0.25">
      <c r="A12">
        <v>11</v>
      </c>
      <c r="B12" s="51" t="s">
        <v>46</v>
      </c>
      <c r="C12" s="27">
        <f ca="1">IFERROR(IF(H12="NEW HIRE",100,IF($P$2-H12&lt;=100,$P$2-H12,IF($P$2-H12&gt;=365,0,))), 0)</f>
        <v>0</v>
      </c>
      <c r="D12" t="s">
        <v>7</v>
      </c>
      <c r="E12" t="s">
        <v>8</v>
      </c>
      <c r="F12" t="s">
        <v>3</v>
      </c>
      <c r="G12" s="38">
        <f ca="1">IF(AND(MASTER!K12&lt;&gt;"X",MASTER!K12&lt;&gt;"",MASTER!$K$2&lt;&gt;BUCKET!H12, MASTER!$K$2&lt;=MASTER!$M$2),MASTER!$K$2,IF(AND(MASTER!J12&lt;&gt;"X",MASTER!J12&lt;&gt;"",MASTER!$J$2&lt;&gt;BUCKET!H12, MASTER!$J$2&lt;=MASTER!$M$2),MASTER!$J$2,IF(AND(MASTER!I12&lt;&gt;"X",MASTER!I12&lt;&gt;"",MASTER!$I$2&lt;&gt;BUCKET!H12, MASTER!$I$2&lt;=MASTER!$M$2),MASTER!$I$2, IF(AND(MASTER!H12&lt;&gt;"X", MASTER!H12&lt;&gt;"", MASTER!$H$2&lt;&gt;BUCKET!H12, MASTER!$H$2&lt;=MASTER!$M$2), MASTER!$H$2, IF(AND(MASTER!G12&lt;&gt;"X", MASTER!G12&lt;&gt;"", MASTER!$G$2&lt;&gt;BUCKET!H12, MASTER!$G$2&lt;=MASTER!$M$2), MASTER!$H$2, IF(AND(MASTER!G12&lt;&gt;"X", MASTER!G12&lt;&gt;"", MASTER!$G$2&lt;&gt;BUCKET!H12, MASTER!$F$2&lt;=MASTER!$M$2), MASTER!$G$2, IF(AND(MASTER!F12&lt;&gt;"X", MASTER!F12&lt;&gt;"", MASTER!$F$2&lt;&gt;BUCKET!H12, MASTER!$F$2&lt;=MASTER!$M$2), MASTER!$F$2, IF(AND(MASTER!E12&lt;&gt;"X", MASTER!E12&lt;&gt;"", MASTER!$E$2&lt;&gt;BUCKET!H12, MASTER!$E$2&lt;=MASTER!$M$2), MASTER!$E$2, IF(AND( MASTER!D12&lt;&gt;"", MASTER!D12&lt;&gt;BUCKET!H12), MASTER!D12, IF(AND(MASTER!C12&lt;&gt;"X", MASTER!C12&lt;&gt;""), MASTER!C12))))))))))</f>
        <v>44185</v>
      </c>
      <c r="H12" s="35">
        <f ca="1">IF(AND(MASTER!K13&lt;&gt;"X", MASTER!K13&lt;&gt;"", MASTER!$K$2&lt;=MASTER!$M$2), MASTER!$K$2, IF(AND(MASTER!J13&lt;&gt;"X", MASTER!J13&lt;&gt;"", MASTER!$J$2&lt;=MASTER!$M$2),MASTER!$J$2, IF(AND(MASTER!I13&lt;&gt;"X", MASTER!I13&lt;&gt;"", MASTER!$I$2&lt;=MASTER!$M$2),MASTER!$I$2, IF(AND(MASTER!H13&lt;&gt;"X", MASTER!H13&lt;&gt;"", MASTER!$H$2&lt;=MASTER!$M$2),MASTER!$H$2, IF(AND(MASTER!G13&lt;&gt;"X", MASTER!G13&lt;&gt;"", MASTER!$F$2&lt;=MASTER!$M$2),MASTER!$G$2, IF(AND(MASTER!F13&lt;&gt;"X", MASTER!F13&lt;&gt;"", MASTER!$F$2&lt;=MASTER!$M$2), MASTER!$F$2, IF(AND(MASTER!E13&lt;&gt;"X", MASTER!E13&lt;&gt;"", MASTER!$E$2&lt;=MASTER!$M$2),MASTER!$E$2, IF(MASTER!D13&lt;&gt;"", MASTER!D13,""))))))))</f>
        <v>44186</v>
      </c>
      <c r="I12" s="8" t="s">
        <v>13</v>
      </c>
      <c r="J12" s="27" t="b">
        <f ca="1">IFERROR(IF(H12="NEW HIRE",FALSE,IF(AND((H12-G12)&lt;=1),($P$2-H12)&lt;=1)), "")</f>
        <v>0</v>
      </c>
      <c r="K12" s="54" t="b">
        <v>0</v>
      </c>
      <c r="L12" s="30" t="str">
        <f ca="1">IFERROR(IF(AND(MASTER!$K$1=MASTER!$N$2,MASTER!K12="X"),"",IF(AND(MASTER!$J$1=MASTER!$N$2,MASTER!J12="X"),"",IF(AND(MASTER!$I$1=MASTER!$N$2,MASTER!I12="X"),"",IF(AND(MASTER!$H$1=MASTER!$N$2,MASTER!H12="X"),"",IF(AND(MASTER!$G$1=MASTER!$N$2,MASTER!G12="X"),"",IF(AND(MASTER!$F$1=MASTER!$N$2,MASTER!F12="X"),"",IF(AND(MASTER!$E$1=MASTER!$N$2,MASTER!E12="X"),"",IF(AND($Q$2&lt;&gt;D12,$Q$2&lt;&gt;E12,$Q$2&lt;&gt;F12,I12="6 to 2",J12=FALSE,K12=FALSE),B12,"")))))))), "")</f>
        <v>Elliot White</v>
      </c>
      <c r="M12" s="34" t="str">
        <f ca="1">IFERROR(IF(AND(MASTER!$K$1=MASTER!$N$2,MASTER!K12="X"),"",IF(AND(MASTER!$J$1=MASTER!$N$2,MASTER!J12="X"),"",IF(AND(MASTER!$I$1=MASTER!$N$2,MASTER!I12="X"),"",IF(AND(MASTER!$H$1=MASTER!$N$2,MASTER!H12="X"),"",IF(AND(MASTER!$G$1=MASTER!$N$2,MASTER!G12="X"),"",IF(AND(MASTER!$F$1=MASTER!$N$2,MASTER!F12="X"),"",IF(AND(MASTER!$E$1=MASTER!$N$2,MASTER!E12="X"),"",IF(AND($Q$2&lt;&gt;D12,$Q$2&lt;&gt;E12,$Q$2&lt;&gt;F12,I12="2 to 10",J12=FALSE,K12=FALSE),B12,"")))))))), "")</f>
        <v/>
      </c>
      <c r="N12" s="44" t="str">
        <f ca="1">IFERROR(IF(AND(MASTER!$K$1=MASTER!$N$2,MASTER!K12="X"),"",IF(AND(MASTER!$J$1=MASTER!$N$2,MASTER!J12="X"),"",IF(AND(MASTER!$I$1=MASTER!$N$2,MASTER!I12="X"),"",IF(AND(MASTER!$H$1=MASTER!$N$2,MASTER!H12="X"),"",IF(AND(MASTER!$G$1=MASTER!$N$2,MASTER!G12="X"),"",IF(AND(MASTER!$F$1=MASTER!$N$2,MASTER!F12="X"),"",IF(AND(MASTER!$E$1=MASTER!$N$2,MASTER!E12="X"),"",IF(AND($Q$2&lt;&gt;D12,$Q$2&lt;&gt;E12,$Q$2&lt;&gt;F12,I12="10 to 6",J12=FALSE,K12=FALSE),B12,"")))))))), "")</f>
        <v/>
      </c>
      <c r="S12" s="12" t="s">
        <v>20</v>
      </c>
      <c r="T12" s="13">
        <f ca="1">COUNTIF(I2:I200, "6 to 2")</f>
        <v>31</v>
      </c>
    </row>
    <row r="13" spans="1:26" ht="16" thickBot="1" x14ac:dyDescent="0.25">
      <c r="A13">
        <v>12</v>
      </c>
      <c r="B13" s="51" t="s">
        <v>47</v>
      </c>
      <c r="C13" s="27">
        <f ca="1">IFERROR(IF(H13="NEW HIRE",100,IF($P$2-H13&lt;=100,$P$2-H13,IF($P$2-H13&gt;=365,0,))), 0)</f>
        <v>0</v>
      </c>
      <c r="D13" t="s">
        <v>2</v>
      </c>
      <c r="E13" t="s">
        <v>7</v>
      </c>
      <c r="F13" t="s">
        <v>8</v>
      </c>
      <c r="G13" s="38">
        <f ca="1">IF(AND(MASTER!K13&lt;&gt;"X",MASTER!K13&lt;&gt;"",MASTER!$K$2&lt;&gt;BUCKET!H13, MASTER!$K$2&lt;=MASTER!$M$2),MASTER!$K$2,IF(AND(MASTER!J13&lt;&gt;"X",MASTER!J13&lt;&gt;"",MASTER!$J$2&lt;&gt;BUCKET!H13, MASTER!$J$2&lt;=MASTER!$M$2),MASTER!$J$2,IF(AND(MASTER!I13&lt;&gt;"X",MASTER!I13&lt;&gt;"",MASTER!$I$2&lt;&gt;BUCKET!H13, MASTER!$I$2&lt;=MASTER!$M$2),MASTER!$I$2, IF(AND(MASTER!H13&lt;&gt;"X", MASTER!H13&lt;&gt;"", MASTER!$H$2&lt;&gt;BUCKET!H13, MASTER!$H$2&lt;=MASTER!$M$2), MASTER!$H$2, IF(AND(MASTER!G13&lt;&gt;"X", MASTER!G13&lt;&gt;"", MASTER!$G$2&lt;&gt;BUCKET!H13, MASTER!$G$2&lt;=MASTER!$M$2), MASTER!$H$2, IF(AND(MASTER!G13&lt;&gt;"X", MASTER!G13&lt;&gt;"", MASTER!$G$2&lt;&gt;BUCKET!H13, MASTER!$F$2&lt;=MASTER!$M$2), MASTER!$G$2, IF(AND(MASTER!F13&lt;&gt;"X", MASTER!F13&lt;&gt;"", MASTER!$F$2&lt;&gt;BUCKET!H13, MASTER!$F$2&lt;=MASTER!$M$2), MASTER!$F$2, IF(AND(MASTER!E13&lt;&gt;"X", MASTER!E13&lt;&gt;"", MASTER!$E$2&lt;&gt;BUCKET!H13, MASTER!$E$2&lt;=MASTER!$M$2), MASTER!$E$2, IF(AND( MASTER!D13&lt;&gt;"", MASTER!D13&lt;&gt;BUCKET!H13), MASTER!D13, IF(AND(MASTER!C13&lt;&gt;"X", MASTER!C13&lt;&gt;""), MASTER!C13))))))))))</f>
        <v>44186</v>
      </c>
      <c r="H13" s="35">
        <f ca="1">IF(AND(MASTER!K14&lt;&gt;"X", MASTER!K14&lt;&gt;"", MASTER!$K$2&lt;=MASTER!$M$2), MASTER!$K$2, IF(AND(MASTER!J14&lt;&gt;"X", MASTER!J14&lt;&gt;"", MASTER!$J$2&lt;=MASTER!$M$2),MASTER!$J$2, IF(AND(MASTER!I14&lt;&gt;"X", MASTER!I14&lt;&gt;"", MASTER!$I$2&lt;=MASTER!$M$2),MASTER!$I$2, IF(AND(MASTER!H14&lt;&gt;"X", MASTER!H14&lt;&gt;"", MASTER!$H$2&lt;=MASTER!$M$2),MASTER!$H$2, IF(AND(MASTER!G14&lt;&gt;"X", MASTER!G14&lt;&gt;"", MASTER!$F$2&lt;=MASTER!$M$2),MASTER!$G$2, IF(AND(MASTER!F14&lt;&gt;"X", MASTER!F14&lt;&gt;"", MASTER!$F$2&lt;=MASTER!$M$2), MASTER!$F$2, IF(AND(MASTER!E14&lt;&gt;"X", MASTER!E14&lt;&gt;"", MASTER!$E$2&lt;=MASTER!$M$2),MASTER!$E$2, IF(MASTER!D14&lt;&gt;"", MASTER!D14,""))))))))</f>
        <v>44187</v>
      </c>
      <c r="I13" s="52" t="str">
        <f ca="1">IF(OR($Q$2= "Wednesday",$Q$2= "Thursday",$Q$2= "Friday"), "2 to 10", "6 to 2")</f>
        <v>2 to 10</v>
      </c>
      <c r="J13" s="27" t="b">
        <f ca="1">IFERROR(IF(H13="NEW HIRE",FALSE,IF(AND((H13-G13)&lt;=1),($P$2-H13)&lt;=1)), "")</f>
        <v>0</v>
      </c>
      <c r="K13" s="54" t="b">
        <v>0</v>
      </c>
      <c r="L13" s="30" t="str">
        <f ca="1">IFERROR(IF(AND(MASTER!$K$1=MASTER!$N$2,MASTER!K13="X"),"",IF(AND(MASTER!$J$1=MASTER!$N$2,MASTER!J13="X"),"",IF(AND(MASTER!$I$1=MASTER!$N$2,MASTER!I13="X"),"",IF(AND(MASTER!$H$1=MASTER!$N$2,MASTER!H13="X"),"",IF(AND(MASTER!$G$1=MASTER!$N$2,MASTER!G13="X"),"",IF(AND(MASTER!$F$1=MASTER!$N$2,MASTER!F13="X"),"",IF(AND(MASTER!$E$1=MASTER!$N$2,MASTER!E13="X"),"",IF(AND($Q$2&lt;&gt;D13,$Q$2&lt;&gt;E13,$Q$2&lt;&gt;F13,I13="6 to 2",J13=FALSE,K13=FALSE),B13,"")))))))), "")</f>
        <v/>
      </c>
      <c r="M13" s="34" t="str">
        <f ca="1">IFERROR(IF(AND(MASTER!$K$1=MASTER!$N$2,MASTER!K13="X"),"",IF(AND(MASTER!$J$1=MASTER!$N$2,MASTER!J13="X"),"",IF(AND(MASTER!$I$1=MASTER!$N$2,MASTER!I13="X"),"",IF(AND(MASTER!$H$1=MASTER!$N$2,MASTER!H13="X"),"",IF(AND(MASTER!$G$1=MASTER!$N$2,MASTER!G13="X"),"",IF(AND(MASTER!$F$1=MASTER!$N$2,MASTER!F13="X"),"",IF(AND(MASTER!$E$1=MASTER!$N$2,MASTER!E13="X"),"",IF(AND($Q$2&lt;&gt;D13,$Q$2&lt;&gt;E13,$Q$2&lt;&gt;F13,I13="2 to 10",J13=FALSE,K13=FALSE),B13,"")))))))), "")</f>
        <v>Sam Jackson</v>
      </c>
      <c r="N13" s="44" t="str">
        <f ca="1">IFERROR(IF(AND(MASTER!$K$1=MASTER!$N$2,MASTER!K13="X"),"",IF(AND(MASTER!$J$1=MASTER!$N$2,MASTER!J13="X"),"",IF(AND(MASTER!$I$1=MASTER!$N$2,MASTER!I13="X"),"",IF(AND(MASTER!$H$1=MASTER!$N$2,MASTER!H13="X"),"",IF(AND(MASTER!$G$1=MASTER!$N$2,MASTER!G13="X"),"",IF(AND(MASTER!$F$1=MASTER!$N$2,MASTER!F13="X"),"",IF(AND(MASTER!$E$1=MASTER!$N$2,MASTER!E13="X"),"",IF(AND($Q$2&lt;&gt;D13,$Q$2&lt;&gt;E13,$Q$2&lt;&gt;F13,I13="10 to 6",J13=FALSE,K13=FALSE),B13,"")))))))), "")</f>
        <v/>
      </c>
      <c r="S13" s="20" t="s">
        <v>17</v>
      </c>
      <c r="T13" s="21" t="s">
        <v>12</v>
      </c>
      <c r="V13" t="s">
        <v>13</v>
      </c>
      <c r="W13" s="2"/>
    </row>
    <row r="14" spans="1:26" ht="16" thickBot="1" x14ac:dyDescent="0.25">
      <c r="A14">
        <v>13</v>
      </c>
      <c r="B14" s="51" t="s">
        <v>48</v>
      </c>
      <c r="C14" s="27">
        <f ca="1">IFERROR(IF(H14="NEW HIRE",100,IF($P$2-H14&lt;=100,$P$2-H14,IF($P$2-H14&gt;=365,0,))), 0)</f>
        <v>0</v>
      </c>
      <c r="D14" t="s">
        <v>7</v>
      </c>
      <c r="E14" t="s">
        <v>8</v>
      </c>
      <c r="F14" t="s">
        <v>3</v>
      </c>
      <c r="G14" s="38">
        <f ca="1">IF(AND(MASTER!K14&lt;&gt;"X",MASTER!K14&lt;&gt;"",MASTER!$K$2&lt;&gt;BUCKET!H14, MASTER!$K$2&lt;=MASTER!$M$2),MASTER!$K$2,IF(AND(MASTER!J14&lt;&gt;"X",MASTER!J14&lt;&gt;"",MASTER!$J$2&lt;&gt;BUCKET!H14, MASTER!$J$2&lt;=MASTER!$M$2),MASTER!$J$2,IF(AND(MASTER!I14&lt;&gt;"X",MASTER!I14&lt;&gt;"",MASTER!$I$2&lt;&gt;BUCKET!H14, MASTER!$I$2&lt;=MASTER!$M$2),MASTER!$I$2, IF(AND(MASTER!H14&lt;&gt;"X", MASTER!H14&lt;&gt;"", MASTER!$H$2&lt;&gt;BUCKET!H14, MASTER!$H$2&lt;=MASTER!$M$2), MASTER!$H$2, IF(AND(MASTER!G14&lt;&gt;"X", MASTER!G14&lt;&gt;"", MASTER!$G$2&lt;&gt;BUCKET!H14, MASTER!$G$2&lt;=MASTER!$M$2), MASTER!$H$2, IF(AND(MASTER!G14&lt;&gt;"X", MASTER!G14&lt;&gt;"", MASTER!$G$2&lt;&gt;BUCKET!H14, MASTER!$F$2&lt;=MASTER!$M$2), MASTER!$G$2, IF(AND(MASTER!F14&lt;&gt;"X", MASTER!F14&lt;&gt;"", MASTER!$F$2&lt;&gt;BUCKET!H14, MASTER!$F$2&lt;=MASTER!$M$2), MASTER!$F$2, IF(AND(MASTER!E14&lt;&gt;"X", MASTER!E14&lt;&gt;"", MASTER!$E$2&lt;&gt;BUCKET!H14, MASTER!$E$2&lt;=MASTER!$M$2), MASTER!$E$2, IF(AND( MASTER!D14&lt;&gt;"", MASTER!D14&lt;&gt;BUCKET!H14), MASTER!D14, IF(AND(MASTER!C14&lt;&gt;"X", MASTER!C14&lt;&gt;""), MASTER!C14))))))))))</f>
        <v>44187</v>
      </c>
      <c r="H14" s="35">
        <f ca="1">IF(AND(MASTER!K15&lt;&gt;"X", MASTER!K15&lt;&gt;"", MASTER!$K$2&lt;=MASTER!$M$2), MASTER!$K$2, IF(AND(MASTER!J15&lt;&gt;"X", MASTER!J15&lt;&gt;"", MASTER!$J$2&lt;=MASTER!$M$2),MASTER!$J$2, IF(AND(MASTER!I15&lt;&gt;"X", MASTER!I15&lt;&gt;"", MASTER!$I$2&lt;=MASTER!$M$2),MASTER!$I$2, IF(AND(MASTER!H15&lt;&gt;"X", MASTER!H15&lt;&gt;"", MASTER!$H$2&lt;=MASTER!$M$2),MASTER!$H$2, IF(AND(MASTER!G15&lt;&gt;"X", MASTER!G15&lt;&gt;"", MASTER!$F$2&lt;=MASTER!$M$2),MASTER!$G$2, IF(AND(MASTER!F15&lt;&gt;"X", MASTER!F15&lt;&gt;"", MASTER!$F$2&lt;=MASTER!$M$2), MASTER!$F$2, IF(AND(MASTER!E15&lt;&gt;"X", MASTER!E15&lt;&gt;"", MASTER!$E$2&lt;=MASTER!$M$2),MASTER!$E$2, IF(MASTER!D15&lt;&gt;"", MASTER!D15,""))))))))</f>
        <v>44188</v>
      </c>
      <c r="I14" s="8" t="s">
        <v>13</v>
      </c>
      <c r="J14" s="27" t="b">
        <f ca="1">IFERROR(IF(H14="NEW HIRE",FALSE,IF(AND((H14-G14)&lt;=1),($P$2-H14)&lt;=1)), "")</f>
        <v>0</v>
      </c>
      <c r="K14" s="54" t="b">
        <v>0</v>
      </c>
      <c r="L14" s="30" t="str">
        <f ca="1">IFERROR(IF(AND(MASTER!$K$1=MASTER!$N$2,MASTER!K14="X"),"",IF(AND(MASTER!$J$1=MASTER!$N$2,MASTER!J14="X"),"",IF(AND(MASTER!$I$1=MASTER!$N$2,MASTER!I14="X"),"",IF(AND(MASTER!$H$1=MASTER!$N$2,MASTER!H14="X"),"",IF(AND(MASTER!$G$1=MASTER!$N$2,MASTER!G14="X"),"",IF(AND(MASTER!$F$1=MASTER!$N$2,MASTER!F14="X"),"",IF(AND(MASTER!$E$1=MASTER!$N$2,MASTER!E14="X"),"",IF(AND($Q$2&lt;&gt;D14,$Q$2&lt;&gt;E14,$Q$2&lt;&gt;F14,I14="6 to 2",J14=FALSE,K14=FALSE),B14,"")))))))), "")</f>
        <v>Drew Brown</v>
      </c>
      <c r="M14" s="34" t="str">
        <f ca="1">IFERROR(IF(AND(MASTER!$K$1=MASTER!$N$2,MASTER!K14="X"),"",IF(AND(MASTER!$J$1=MASTER!$N$2,MASTER!J14="X"),"",IF(AND(MASTER!$I$1=MASTER!$N$2,MASTER!I14="X"),"",IF(AND(MASTER!$H$1=MASTER!$N$2,MASTER!H14="X"),"",IF(AND(MASTER!$G$1=MASTER!$N$2,MASTER!G14="X"),"",IF(AND(MASTER!$F$1=MASTER!$N$2,MASTER!F14="X"),"",IF(AND(MASTER!$E$1=MASTER!$N$2,MASTER!E14="X"),"",IF(AND($Q$2&lt;&gt;D14,$Q$2&lt;&gt;E14,$Q$2&lt;&gt;F14,I14="2 to 10",J14=FALSE,K14=FALSE),B14,"")))))))), "")</f>
        <v/>
      </c>
      <c r="N14" s="44" t="str">
        <f ca="1">IFERROR(IF(AND(MASTER!$K$1=MASTER!$N$2,MASTER!K14="X"),"",IF(AND(MASTER!$J$1=MASTER!$N$2,MASTER!J14="X"),"",IF(AND(MASTER!$I$1=MASTER!$N$2,MASTER!I14="X"),"",IF(AND(MASTER!$H$1=MASTER!$N$2,MASTER!H14="X"),"",IF(AND(MASTER!$G$1=MASTER!$N$2,MASTER!G14="X"),"",IF(AND(MASTER!$F$1=MASTER!$N$2,MASTER!F14="X"),"",IF(AND(MASTER!$E$1=MASTER!$N$2,MASTER!E14="X"),"",IF(AND($Q$2&lt;&gt;D14,$Q$2&lt;&gt;E14,$Q$2&lt;&gt;F14,I14="10 to 6",J14=FALSE,K14=FALSE),B14,"")))))))), "")</f>
        <v/>
      </c>
      <c r="S14" s="16">
        <v>1</v>
      </c>
      <c r="T14" s="17" t="str">
        <f t="array" aca="1" ref="T14" ca="1">INDIRECT("M"&amp;SMALL(IF(LEN($M$1:$M201)=0, "", ROW($1:$200)), ROW(N2)))</f>
        <v>Peyton Johnson</v>
      </c>
      <c r="V14" t="s">
        <v>12</v>
      </c>
      <c r="W14" s="2"/>
    </row>
    <row r="15" spans="1:26" ht="16" thickBot="1" x14ac:dyDescent="0.25">
      <c r="A15">
        <v>14</v>
      </c>
      <c r="B15" s="51" t="s">
        <v>49</v>
      </c>
      <c r="C15" s="27">
        <f ca="1">IFERROR(IF(H15="NEW HIRE",100,IF($P$2-H15&lt;=100,$P$2-H15,IF($P$2-H15&gt;=365,0,))), 0)</f>
        <v>0</v>
      </c>
      <c r="D15" t="s">
        <v>7</v>
      </c>
      <c r="E15" t="s">
        <v>8</v>
      </c>
      <c r="F15" t="s">
        <v>3</v>
      </c>
      <c r="G15" s="38">
        <f ca="1">IF(AND(MASTER!K15&lt;&gt;"X",MASTER!K15&lt;&gt;"",MASTER!$K$2&lt;&gt;BUCKET!H15, MASTER!$K$2&lt;=MASTER!$M$2),MASTER!$K$2,IF(AND(MASTER!J15&lt;&gt;"X",MASTER!J15&lt;&gt;"",MASTER!$J$2&lt;&gt;BUCKET!H15, MASTER!$J$2&lt;=MASTER!$M$2),MASTER!$J$2,IF(AND(MASTER!I15&lt;&gt;"X",MASTER!I15&lt;&gt;"",MASTER!$I$2&lt;&gt;BUCKET!H15, MASTER!$I$2&lt;=MASTER!$M$2),MASTER!$I$2, IF(AND(MASTER!H15&lt;&gt;"X", MASTER!H15&lt;&gt;"", MASTER!$H$2&lt;&gt;BUCKET!H15, MASTER!$H$2&lt;=MASTER!$M$2), MASTER!$H$2, IF(AND(MASTER!G15&lt;&gt;"X", MASTER!G15&lt;&gt;"", MASTER!$G$2&lt;&gt;BUCKET!H15, MASTER!$G$2&lt;=MASTER!$M$2), MASTER!$H$2, IF(AND(MASTER!G15&lt;&gt;"X", MASTER!G15&lt;&gt;"", MASTER!$G$2&lt;&gt;BUCKET!H15, MASTER!$F$2&lt;=MASTER!$M$2), MASTER!$G$2, IF(AND(MASTER!F15&lt;&gt;"X", MASTER!F15&lt;&gt;"", MASTER!$F$2&lt;&gt;BUCKET!H15, MASTER!$F$2&lt;=MASTER!$M$2), MASTER!$F$2, IF(AND(MASTER!E15&lt;&gt;"X", MASTER!E15&lt;&gt;"", MASTER!$E$2&lt;&gt;BUCKET!H15, MASTER!$E$2&lt;=MASTER!$M$2), MASTER!$E$2, IF(AND( MASTER!D15&lt;&gt;"", MASTER!D15&lt;&gt;BUCKET!H15), MASTER!D15, IF(AND(MASTER!C15&lt;&gt;"X", MASTER!C15&lt;&gt;""), MASTER!C15))))))))))</f>
        <v>44188</v>
      </c>
      <c r="H15" s="35">
        <f ca="1">IF(AND(MASTER!K16&lt;&gt;"X", MASTER!K16&lt;&gt;"", MASTER!$K$2&lt;=MASTER!$M$2), MASTER!$K$2, IF(AND(MASTER!J16&lt;&gt;"X", MASTER!J16&lt;&gt;"", MASTER!$J$2&lt;=MASTER!$M$2),MASTER!$J$2, IF(AND(MASTER!I16&lt;&gt;"X", MASTER!I16&lt;&gt;"", MASTER!$I$2&lt;=MASTER!$M$2),MASTER!$I$2, IF(AND(MASTER!H16&lt;&gt;"X", MASTER!H16&lt;&gt;"", MASTER!$H$2&lt;=MASTER!$M$2),MASTER!$H$2, IF(AND(MASTER!G16&lt;&gt;"X", MASTER!G16&lt;&gt;"", MASTER!$F$2&lt;=MASTER!$M$2),MASTER!$G$2, IF(AND(MASTER!F16&lt;&gt;"X", MASTER!F16&lt;&gt;"", MASTER!$F$2&lt;=MASTER!$M$2), MASTER!$F$2, IF(AND(MASTER!E16&lt;&gt;"X", MASTER!E16&lt;&gt;"", MASTER!$E$2&lt;=MASTER!$M$2),MASTER!$E$2, IF(MASTER!D16&lt;&gt;"", MASTER!D16,""))))))))</f>
        <v>44189</v>
      </c>
      <c r="I15" s="8" t="s">
        <v>13</v>
      </c>
      <c r="J15" s="27" t="b">
        <f ca="1">IFERROR(IF(H15="NEW HIRE",FALSE,IF(AND((H15-G15)&lt;=1),($P$2-H15)&lt;=1)), "")</f>
        <v>0</v>
      </c>
      <c r="K15" s="54" t="b">
        <v>0</v>
      </c>
      <c r="L15" s="30" t="str">
        <f ca="1">IFERROR(IF(AND(MASTER!$K$1=MASTER!$N$2,MASTER!K15="X"),"",IF(AND(MASTER!$J$1=MASTER!$N$2,MASTER!J15="X"),"",IF(AND(MASTER!$I$1=MASTER!$N$2,MASTER!I15="X"),"",IF(AND(MASTER!$H$1=MASTER!$N$2,MASTER!H15="X"),"",IF(AND(MASTER!$G$1=MASTER!$N$2,MASTER!G15="X"),"",IF(AND(MASTER!$F$1=MASTER!$N$2,MASTER!F15="X"),"",IF(AND(MASTER!$E$1=MASTER!$N$2,MASTER!E15="X"),"",IF(AND($Q$2&lt;&gt;D15,$Q$2&lt;&gt;E15,$Q$2&lt;&gt;F15,I15="6 to 2",J15=FALSE,K15=FALSE),B15,"")))))))), "")</f>
        <v>Drew Garcia</v>
      </c>
      <c r="M15" s="34" t="str">
        <f ca="1">IFERROR(IF(AND(MASTER!$K$1=MASTER!$N$2,MASTER!K15="X"),"",IF(AND(MASTER!$J$1=MASTER!$N$2,MASTER!J15="X"),"",IF(AND(MASTER!$I$1=MASTER!$N$2,MASTER!I15="X"),"",IF(AND(MASTER!$H$1=MASTER!$N$2,MASTER!H15="X"),"",IF(AND(MASTER!$G$1=MASTER!$N$2,MASTER!G15="X"),"",IF(AND(MASTER!$F$1=MASTER!$N$2,MASTER!F15="X"),"",IF(AND(MASTER!$E$1=MASTER!$N$2,MASTER!E15="X"),"",IF(AND($Q$2&lt;&gt;D15,$Q$2&lt;&gt;E15,$Q$2&lt;&gt;F15,I15="2 to 10",J15=FALSE,K15=FALSE),B15,"")))))))), "")</f>
        <v/>
      </c>
      <c r="N15" s="44" t="str">
        <f ca="1">IFERROR(IF(AND(MASTER!$K$1=MASTER!$N$2,MASTER!K15="X"),"",IF(AND(MASTER!$J$1=MASTER!$N$2,MASTER!J15="X"),"",IF(AND(MASTER!$I$1=MASTER!$N$2,MASTER!I15="X"),"",IF(AND(MASTER!$H$1=MASTER!$N$2,MASTER!H15="X"),"",IF(AND(MASTER!$G$1=MASTER!$N$2,MASTER!G15="X"),"",IF(AND(MASTER!$F$1=MASTER!$N$2,MASTER!F15="X"),"",IF(AND(MASTER!$E$1=MASTER!$N$2,MASTER!E15="X"),"",IF(AND($Q$2&lt;&gt;D15,$Q$2&lt;&gt;E15,$Q$2&lt;&gt;F15,I15="10 to 6",J15=FALSE,K15=FALSE),B15,"")))))))), "")</f>
        <v/>
      </c>
      <c r="S15" s="16">
        <v>2</v>
      </c>
      <c r="T15" s="17" t="str">
        <f t="array" aca="1" ref="T15" ca="1">INDIRECT("M"&amp;SMALL(IF(LEN($M$1:$M202)=0, "", ROW($1:$200)), ROW(N3)))</f>
        <v>Sam Jackson</v>
      </c>
      <c r="V15" t="s">
        <v>16</v>
      </c>
      <c r="W15" s="2"/>
    </row>
    <row r="16" spans="1:26" ht="16" thickBot="1" x14ac:dyDescent="0.25">
      <c r="A16">
        <v>15</v>
      </c>
      <c r="B16" s="51" t="s">
        <v>50</v>
      </c>
      <c r="C16" s="27">
        <f ca="1">IFERROR(IF(H16="NEW HIRE",100,IF($P$2-H16&lt;=100,$P$2-H16,IF($P$2-H16&gt;=365,0,))), 0)</f>
        <v>0</v>
      </c>
      <c r="D16" t="s">
        <v>7</v>
      </c>
      <c r="E16" t="s">
        <v>8</v>
      </c>
      <c r="F16" t="s">
        <v>3</v>
      </c>
      <c r="G16" s="38">
        <f ca="1">IF(AND(MASTER!K16&lt;&gt;"X",MASTER!K16&lt;&gt;"",MASTER!$K$2&lt;&gt;BUCKET!H16, MASTER!$K$2&lt;=MASTER!$M$2),MASTER!$K$2,IF(AND(MASTER!J16&lt;&gt;"X",MASTER!J16&lt;&gt;"",MASTER!$J$2&lt;&gt;BUCKET!H16, MASTER!$J$2&lt;=MASTER!$M$2),MASTER!$J$2,IF(AND(MASTER!I16&lt;&gt;"X",MASTER!I16&lt;&gt;"",MASTER!$I$2&lt;&gt;BUCKET!H16, MASTER!$I$2&lt;=MASTER!$M$2),MASTER!$I$2, IF(AND(MASTER!H16&lt;&gt;"X", MASTER!H16&lt;&gt;"", MASTER!$H$2&lt;&gt;BUCKET!H16, MASTER!$H$2&lt;=MASTER!$M$2), MASTER!$H$2, IF(AND(MASTER!G16&lt;&gt;"X", MASTER!G16&lt;&gt;"", MASTER!$G$2&lt;&gt;BUCKET!H16, MASTER!$G$2&lt;=MASTER!$M$2), MASTER!$H$2, IF(AND(MASTER!G16&lt;&gt;"X", MASTER!G16&lt;&gt;"", MASTER!$G$2&lt;&gt;BUCKET!H16, MASTER!$F$2&lt;=MASTER!$M$2), MASTER!$G$2, IF(AND(MASTER!F16&lt;&gt;"X", MASTER!F16&lt;&gt;"", MASTER!$F$2&lt;&gt;BUCKET!H16, MASTER!$F$2&lt;=MASTER!$M$2), MASTER!$F$2, IF(AND(MASTER!E16&lt;&gt;"X", MASTER!E16&lt;&gt;"", MASTER!$E$2&lt;&gt;BUCKET!H16, MASTER!$E$2&lt;=MASTER!$M$2), MASTER!$E$2, IF(AND( MASTER!D16&lt;&gt;"", MASTER!D16&lt;&gt;BUCKET!H16), MASTER!D16, IF(AND(MASTER!C16&lt;&gt;"X", MASTER!C16&lt;&gt;""), MASTER!C16))))))))))</f>
        <v>44189</v>
      </c>
      <c r="H16" s="35">
        <f ca="1">IF(AND(MASTER!K17&lt;&gt;"X", MASTER!K17&lt;&gt;"", MASTER!$K$2&lt;=MASTER!$M$2), MASTER!$K$2, IF(AND(MASTER!J17&lt;&gt;"X", MASTER!J17&lt;&gt;"", MASTER!$J$2&lt;=MASTER!$M$2),MASTER!$J$2, IF(AND(MASTER!I17&lt;&gt;"X", MASTER!I17&lt;&gt;"", MASTER!$I$2&lt;=MASTER!$M$2),MASTER!$I$2, IF(AND(MASTER!H17&lt;&gt;"X", MASTER!H17&lt;&gt;"", MASTER!$H$2&lt;=MASTER!$M$2),MASTER!$H$2, IF(AND(MASTER!G17&lt;&gt;"X", MASTER!G17&lt;&gt;"", MASTER!$F$2&lt;=MASTER!$M$2),MASTER!$G$2, IF(AND(MASTER!F17&lt;&gt;"X", MASTER!F17&lt;&gt;"", MASTER!$F$2&lt;=MASTER!$M$2), MASTER!$F$2, IF(AND(MASTER!E17&lt;&gt;"X", MASTER!E17&lt;&gt;"", MASTER!$E$2&lt;=MASTER!$M$2),MASTER!$E$2, IF(MASTER!D17&lt;&gt;"", MASTER!D17,""))))))))</f>
        <v>44190</v>
      </c>
      <c r="I16" s="8" t="s">
        <v>16</v>
      </c>
      <c r="J16" s="27" t="b">
        <f ca="1">IFERROR(IF(H16="NEW HIRE",FALSE,IF(AND((H16-G16)&lt;=1),($P$2-H16)&lt;=1)), "")</f>
        <v>0</v>
      </c>
      <c r="K16" s="54" t="b">
        <v>0</v>
      </c>
      <c r="L16" s="30" t="str">
        <f ca="1">IFERROR(IF(AND(MASTER!$K$1=MASTER!$N$2,MASTER!K16="X"),"",IF(AND(MASTER!$J$1=MASTER!$N$2,MASTER!J16="X"),"",IF(AND(MASTER!$I$1=MASTER!$N$2,MASTER!I16="X"),"",IF(AND(MASTER!$H$1=MASTER!$N$2,MASTER!H16="X"),"",IF(AND(MASTER!$G$1=MASTER!$N$2,MASTER!G16="X"),"",IF(AND(MASTER!$F$1=MASTER!$N$2,MASTER!F16="X"),"",IF(AND(MASTER!$E$1=MASTER!$N$2,MASTER!E16="X"),"",IF(AND($Q$2&lt;&gt;D16,$Q$2&lt;&gt;E16,$Q$2&lt;&gt;F16,I16="6 to 2",J16=FALSE,K16=FALSE),B16,"")))))))), "")</f>
        <v/>
      </c>
      <c r="M16" s="34" t="str">
        <f ca="1">IFERROR(IF(AND(MASTER!$K$1=MASTER!$N$2,MASTER!K16="X"),"",IF(AND(MASTER!$J$1=MASTER!$N$2,MASTER!J16="X"),"",IF(AND(MASTER!$I$1=MASTER!$N$2,MASTER!I16="X"),"",IF(AND(MASTER!$H$1=MASTER!$N$2,MASTER!H16="X"),"",IF(AND(MASTER!$G$1=MASTER!$N$2,MASTER!G16="X"),"",IF(AND(MASTER!$F$1=MASTER!$N$2,MASTER!F16="X"),"",IF(AND(MASTER!$E$1=MASTER!$N$2,MASTER!E16="X"),"",IF(AND($Q$2&lt;&gt;D16,$Q$2&lt;&gt;E16,$Q$2&lt;&gt;F16,I16="2 to 10",J16=FALSE,K16=FALSE),B16,"")))))))), "")</f>
        <v/>
      </c>
      <c r="N16" s="44" t="str">
        <f ca="1">IFERROR(IF(AND(MASTER!$K$1=MASTER!$N$2,MASTER!K16="X"),"",IF(AND(MASTER!$J$1=MASTER!$N$2,MASTER!J16="X"),"",IF(AND(MASTER!$I$1=MASTER!$N$2,MASTER!I16="X"),"",IF(AND(MASTER!$H$1=MASTER!$N$2,MASTER!H16="X"),"",IF(AND(MASTER!$G$1=MASTER!$N$2,MASTER!G16="X"),"",IF(AND(MASTER!$F$1=MASTER!$N$2,MASTER!F16="X"),"",IF(AND(MASTER!$E$1=MASTER!$N$2,MASTER!E16="X"),"",IF(AND($Q$2&lt;&gt;D16,$Q$2&lt;&gt;E16,$Q$2&lt;&gt;F16,I16="10 to 6",J16=FALSE,K16=FALSE),B16,"")))))))), "")</f>
        <v>Skyler Thompson</v>
      </c>
      <c r="S16" s="16">
        <v>3</v>
      </c>
      <c r="T16" s="17" t="str">
        <f t="array" aca="1" ref="T16" ca="1">INDIRECT("M"&amp;SMALL(IF(LEN($M$1:$M203)=0, "", ROW($1:$200)), ROW(N4)))</f>
        <v>Cameron White</v>
      </c>
    </row>
    <row r="17" spans="1:21" ht="16" thickBot="1" x14ac:dyDescent="0.25">
      <c r="A17">
        <v>16</v>
      </c>
      <c r="B17" s="51" t="s">
        <v>36</v>
      </c>
      <c r="C17" s="27">
        <f ca="1">IFERROR(IF(H17="NEW HIRE",100,IF($P$2-H17&lt;=100,$P$2-H17,IF($P$2-H17&gt;=365,0,))), 0)</f>
        <v>0</v>
      </c>
      <c r="D17" t="s">
        <v>5</v>
      </c>
      <c r="E17" t="s">
        <v>6</v>
      </c>
      <c r="F17" t="s">
        <v>2</v>
      </c>
      <c r="G17" s="38">
        <f ca="1">IF(AND(MASTER!K17&lt;&gt;"X",MASTER!K17&lt;&gt;"",MASTER!$K$2&lt;&gt;BUCKET!H17, MASTER!$K$2&lt;=MASTER!$M$2),MASTER!$K$2,IF(AND(MASTER!J17&lt;&gt;"X",MASTER!J17&lt;&gt;"",MASTER!$J$2&lt;&gt;BUCKET!H17, MASTER!$J$2&lt;=MASTER!$M$2),MASTER!$J$2,IF(AND(MASTER!I17&lt;&gt;"X",MASTER!I17&lt;&gt;"",MASTER!$I$2&lt;&gt;BUCKET!H17, MASTER!$I$2&lt;=MASTER!$M$2),MASTER!$I$2, IF(AND(MASTER!H17&lt;&gt;"X", MASTER!H17&lt;&gt;"", MASTER!$H$2&lt;&gt;BUCKET!H17, MASTER!$H$2&lt;=MASTER!$M$2), MASTER!$H$2, IF(AND(MASTER!G17&lt;&gt;"X", MASTER!G17&lt;&gt;"", MASTER!$G$2&lt;&gt;BUCKET!H17, MASTER!$G$2&lt;=MASTER!$M$2), MASTER!$H$2, IF(AND(MASTER!G17&lt;&gt;"X", MASTER!G17&lt;&gt;"", MASTER!$G$2&lt;&gt;BUCKET!H17, MASTER!$F$2&lt;=MASTER!$M$2), MASTER!$G$2, IF(AND(MASTER!F17&lt;&gt;"X", MASTER!F17&lt;&gt;"", MASTER!$F$2&lt;&gt;BUCKET!H17, MASTER!$F$2&lt;=MASTER!$M$2), MASTER!$F$2, IF(AND(MASTER!E17&lt;&gt;"X", MASTER!E17&lt;&gt;"", MASTER!$E$2&lt;&gt;BUCKET!H17, MASTER!$E$2&lt;=MASTER!$M$2), MASTER!$E$2, IF(AND( MASTER!D17&lt;&gt;"", MASTER!D17&lt;&gt;BUCKET!H17), MASTER!D17, IF(AND(MASTER!C17&lt;&gt;"X", MASTER!C17&lt;&gt;""), MASTER!C17))))))))))</f>
        <v>44190</v>
      </c>
      <c r="H17" s="35">
        <f ca="1">IF(AND(MASTER!K18&lt;&gt;"X", MASTER!K18&lt;&gt;"", MASTER!$K$2&lt;=MASTER!$M$2), MASTER!$K$2, IF(AND(MASTER!J18&lt;&gt;"X", MASTER!J18&lt;&gt;"", MASTER!$J$2&lt;=MASTER!$M$2),MASTER!$J$2, IF(AND(MASTER!I18&lt;&gt;"X", MASTER!I18&lt;&gt;"", MASTER!$I$2&lt;=MASTER!$M$2),MASTER!$I$2, IF(AND(MASTER!H18&lt;&gt;"X", MASTER!H18&lt;&gt;"", MASTER!$H$2&lt;=MASTER!$M$2),MASTER!$H$2, IF(AND(MASTER!G18&lt;&gt;"X", MASTER!G18&lt;&gt;"", MASTER!$F$2&lt;=MASTER!$M$2),MASTER!$G$2, IF(AND(MASTER!F18&lt;&gt;"X", MASTER!F18&lt;&gt;"", MASTER!$F$2&lt;=MASTER!$M$2), MASTER!$F$2, IF(AND(MASTER!E18&lt;&gt;"X", MASTER!E18&lt;&gt;"", MASTER!$E$2&lt;=MASTER!$M$2),MASTER!$E$2, IF(MASTER!D18&lt;&gt;"", MASTER!D18,""))))))))</f>
        <v>44191</v>
      </c>
      <c r="I17" s="8" t="s">
        <v>13</v>
      </c>
      <c r="J17" s="27" t="b">
        <f ca="1">IFERROR(IF(H17="NEW HIRE",FALSE,IF(AND((H17-G17)&lt;=1),($P$2-H17)&lt;=1)), "")</f>
        <v>0</v>
      </c>
      <c r="K17" s="54" t="b">
        <v>0</v>
      </c>
      <c r="L17" s="30" t="str">
        <f ca="1">IFERROR(IF(AND(MASTER!$K$1=MASTER!$N$2,MASTER!K17="X"),"",IF(AND(MASTER!$J$1=MASTER!$N$2,MASTER!J17="X"),"",IF(AND(MASTER!$I$1=MASTER!$N$2,MASTER!I17="X"),"",IF(AND(MASTER!$H$1=MASTER!$N$2,MASTER!H17="X"),"",IF(AND(MASTER!$G$1=MASTER!$N$2,MASTER!G17="X"),"",IF(AND(MASTER!$F$1=MASTER!$N$2,MASTER!F17="X"),"",IF(AND(MASTER!$E$1=MASTER!$N$2,MASTER!E17="X"),"",IF(AND($Q$2&lt;&gt;D17,$Q$2&lt;&gt;E17,$Q$2&lt;&gt;F17,I17="6 to 2",J17=FALSE,K17=FALSE),B17,"")))))))), "")</f>
        <v/>
      </c>
      <c r="M17" s="34" t="str">
        <f ca="1">IFERROR(IF(AND(MASTER!$K$1=MASTER!$N$2,MASTER!K17="X"),"",IF(AND(MASTER!$J$1=MASTER!$N$2,MASTER!J17="X"),"",IF(AND(MASTER!$I$1=MASTER!$N$2,MASTER!I17="X"),"",IF(AND(MASTER!$H$1=MASTER!$N$2,MASTER!H17="X"),"",IF(AND(MASTER!$G$1=MASTER!$N$2,MASTER!G17="X"),"",IF(AND(MASTER!$F$1=MASTER!$N$2,MASTER!F17="X"),"",IF(AND(MASTER!$E$1=MASTER!$N$2,MASTER!E17="X"),"",IF(AND($Q$2&lt;&gt;D17,$Q$2&lt;&gt;E17,$Q$2&lt;&gt;F17,I17="2 to 10",J17=FALSE,K17=FALSE),B17,"")))))))), "")</f>
        <v/>
      </c>
      <c r="N17" s="44" t="str">
        <f ca="1">IFERROR(IF(AND(MASTER!$K$1=MASTER!$N$2,MASTER!K17="X"),"",IF(AND(MASTER!$J$1=MASTER!$N$2,MASTER!J17="X"),"",IF(AND(MASTER!$I$1=MASTER!$N$2,MASTER!I17="X"),"",IF(AND(MASTER!$H$1=MASTER!$N$2,MASTER!H17="X"),"",IF(AND(MASTER!$G$1=MASTER!$N$2,MASTER!G17="X"),"",IF(AND(MASTER!$F$1=MASTER!$N$2,MASTER!F17="X"),"",IF(AND(MASTER!$E$1=MASTER!$N$2,MASTER!E17="X"),"",IF(AND($Q$2&lt;&gt;D17,$Q$2&lt;&gt;E17,$Q$2&lt;&gt;F17,I17="10 to 6",J17=FALSE,K17=FALSE),B17,"")))))))), "")</f>
        <v/>
      </c>
      <c r="S17" s="16">
        <v>4</v>
      </c>
      <c r="T17" s="17" t="str">
        <f t="array" aca="1" ref="T17" ca="1">INDIRECT("M"&amp;SMALL(IF(LEN($M$1:$M204)=0, "", ROW($1:$200)), ROW(N6)))</f>
        <v>Chris Anderson</v>
      </c>
    </row>
    <row r="18" spans="1:21" ht="16" thickBot="1" x14ac:dyDescent="0.25">
      <c r="A18">
        <v>17</v>
      </c>
      <c r="B18" s="51" t="s">
        <v>51</v>
      </c>
      <c r="C18" s="27">
        <f ca="1">IFERROR(IF(H18="NEW HIRE",100,IF($P$2-H18&lt;=100,$P$2-H18,IF($P$2-H18&gt;=365,0,))), 0)</f>
        <v>0</v>
      </c>
      <c r="D18" t="s">
        <v>2</v>
      </c>
      <c r="E18" t="s">
        <v>7</v>
      </c>
      <c r="F18" t="s">
        <v>8</v>
      </c>
      <c r="G18" s="38">
        <f ca="1">IF(AND(MASTER!K18&lt;&gt;"X",MASTER!K18&lt;&gt;"",MASTER!$K$2&lt;&gt;BUCKET!H18, MASTER!$K$2&lt;=MASTER!$M$2),MASTER!$K$2,IF(AND(MASTER!J18&lt;&gt;"X",MASTER!J18&lt;&gt;"",MASTER!$J$2&lt;&gt;BUCKET!H18, MASTER!$J$2&lt;=MASTER!$M$2),MASTER!$J$2,IF(AND(MASTER!I18&lt;&gt;"X",MASTER!I18&lt;&gt;"",MASTER!$I$2&lt;&gt;BUCKET!H18, MASTER!$I$2&lt;=MASTER!$M$2),MASTER!$I$2, IF(AND(MASTER!H18&lt;&gt;"X", MASTER!H18&lt;&gt;"", MASTER!$H$2&lt;&gt;BUCKET!H18, MASTER!$H$2&lt;=MASTER!$M$2), MASTER!$H$2, IF(AND(MASTER!G18&lt;&gt;"X", MASTER!G18&lt;&gt;"", MASTER!$G$2&lt;&gt;BUCKET!H18, MASTER!$G$2&lt;=MASTER!$M$2), MASTER!$H$2, IF(AND(MASTER!G18&lt;&gt;"X", MASTER!G18&lt;&gt;"", MASTER!$G$2&lt;&gt;BUCKET!H18, MASTER!$F$2&lt;=MASTER!$M$2), MASTER!$G$2, IF(AND(MASTER!F18&lt;&gt;"X", MASTER!F18&lt;&gt;"", MASTER!$F$2&lt;&gt;BUCKET!H18, MASTER!$F$2&lt;=MASTER!$M$2), MASTER!$F$2, IF(AND(MASTER!E18&lt;&gt;"X", MASTER!E18&lt;&gt;"", MASTER!$E$2&lt;&gt;BUCKET!H18, MASTER!$E$2&lt;=MASTER!$M$2), MASTER!$E$2, IF(AND( MASTER!D18&lt;&gt;"", MASTER!D18&lt;&gt;BUCKET!H18), MASTER!D18, IF(AND(MASTER!C18&lt;&gt;"X", MASTER!C18&lt;&gt;""), MASTER!C18))))))))))</f>
        <v>44191</v>
      </c>
      <c r="H18" s="35">
        <f ca="1">IF(AND(MASTER!K19&lt;&gt;"X", MASTER!K19&lt;&gt;"", MASTER!$K$2&lt;=MASTER!$M$2), MASTER!$K$2, IF(AND(MASTER!J19&lt;&gt;"X", MASTER!J19&lt;&gt;"", MASTER!$J$2&lt;=MASTER!$M$2),MASTER!$J$2, IF(AND(MASTER!I19&lt;&gt;"X", MASTER!I19&lt;&gt;"", MASTER!$I$2&lt;=MASTER!$M$2),MASTER!$I$2, IF(AND(MASTER!H19&lt;&gt;"X", MASTER!H19&lt;&gt;"", MASTER!$H$2&lt;=MASTER!$M$2),MASTER!$H$2, IF(AND(MASTER!G19&lt;&gt;"X", MASTER!G19&lt;&gt;"", MASTER!$F$2&lt;=MASTER!$M$2),MASTER!$G$2, IF(AND(MASTER!F19&lt;&gt;"X", MASTER!F19&lt;&gt;"", MASTER!$F$2&lt;=MASTER!$M$2), MASTER!$F$2, IF(AND(MASTER!E19&lt;&gt;"X", MASTER!E19&lt;&gt;"", MASTER!$E$2&lt;=MASTER!$M$2),MASTER!$E$2, IF(MASTER!D19&lt;&gt;"", MASTER!D19,""))))))))</f>
        <v>44192</v>
      </c>
      <c r="I18" s="8" t="s">
        <v>16</v>
      </c>
      <c r="J18" s="27" t="b">
        <f ca="1">IFERROR(IF(H18="NEW HIRE",FALSE,IF(AND((H18-G18)&lt;=1),($P$2-H18)&lt;=1)), "")</f>
        <v>0</v>
      </c>
      <c r="K18" s="54" t="b">
        <v>0</v>
      </c>
      <c r="L18" s="30" t="str">
        <f ca="1">IFERROR(IF(AND(MASTER!$K$1=MASTER!$N$2,MASTER!K18="X"),"",IF(AND(MASTER!$J$1=MASTER!$N$2,MASTER!J18="X"),"",IF(AND(MASTER!$I$1=MASTER!$N$2,MASTER!I18="X"),"",IF(AND(MASTER!$H$1=MASTER!$N$2,MASTER!H18="X"),"",IF(AND(MASTER!$G$1=MASTER!$N$2,MASTER!G18="X"),"",IF(AND(MASTER!$F$1=MASTER!$N$2,MASTER!F18="X"),"",IF(AND(MASTER!$E$1=MASTER!$N$2,MASTER!E18="X"),"",IF(AND($Q$2&lt;&gt;D18,$Q$2&lt;&gt;E18,$Q$2&lt;&gt;F18,I18="6 to 2",J18=FALSE,K18=FALSE),B18,"")))))))), "")</f>
        <v/>
      </c>
      <c r="M18" s="34" t="str">
        <f ca="1">IFERROR(IF(AND(MASTER!$K$1=MASTER!$N$2,MASTER!K18="X"),"",IF(AND(MASTER!$J$1=MASTER!$N$2,MASTER!J18="X"),"",IF(AND(MASTER!$I$1=MASTER!$N$2,MASTER!I18="X"),"",IF(AND(MASTER!$H$1=MASTER!$N$2,MASTER!H18="X"),"",IF(AND(MASTER!$G$1=MASTER!$N$2,MASTER!G18="X"),"",IF(AND(MASTER!$F$1=MASTER!$N$2,MASTER!F18="X"),"",IF(AND(MASTER!$E$1=MASTER!$N$2,MASTER!E18="X"),"",IF(AND($Q$2&lt;&gt;D18,$Q$2&lt;&gt;E18,$Q$2&lt;&gt;F18,I18="2 to 10",J18=FALSE,K18=FALSE),B18,"")))))))), "")</f>
        <v/>
      </c>
      <c r="N18" s="44" t="str">
        <f ca="1">IFERROR(IF(AND(MASTER!$K$1=MASTER!$N$2,MASTER!K18="X"),"",IF(AND(MASTER!$J$1=MASTER!$N$2,MASTER!J18="X"),"",IF(AND(MASTER!$I$1=MASTER!$N$2,MASTER!I18="X"),"",IF(AND(MASTER!$H$1=MASTER!$N$2,MASTER!H18="X"),"",IF(AND(MASTER!$G$1=MASTER!$N$2,MASTER!G18="X"),"",IF(AND(MASTER!$F$1=MASTER!$N$2,MASTER!F18="X"),"",IF(AND(MASTER!$E$1=MASTER!$N$2,MASTER!E18="X"),"",IF(AND($Q$2&lt;&gt;D18,$Q$2&lt;&gt;E18,$Q$2&lt;&gt;F18,I18="10 to 6",J18=FALSE,K18=FALSE),B18,"")))))))), "")</f>
        <v>Sam Smith</v>
      </c>
      <c r="S18" s="16">
        <v>5</v>
      </c>
      <c r="T18" s="17" t="str">
        <f t="array" aca="1" ref="T18" ca="1">INDIRECT("M"&amp;SMALL(IF(LEN($M$1:$M205)=0, "", ROW($1:$200)), ROW(N7)))</f>
        <v>Skyler Johnson</v>
      </c>
    </row>
    <row r="19" spans="1:21" ht="16" customHeight="1" thickBot="1" x14ac:dyDescent="0.3">
      <c r="A19">
        <v>18</v>
      </c>
      <c r="B19" s="51" t="s">
        <v>52</v>
      </c>
      <c r="C19" s="27">
        <f ca="1">IFERROR(IF(H19="NEW HIRE",100,IF($P$2-H19&lt;=100,$P$2-H19,IF($P$2-H19&gt;=365,0,))), 0)</f>
        <v>0</v>
      </c>
      <c r="D19" t="s">
        <v>8</v>
      </c>
      <c r="E19" t="s">
        <v>3</v>
      </c>
      <c r="F19" t="s">
        <v>4</v>
      </c>
      <c r="G19" s="38">
        <f ca="1">IF(AND(MASTER!K19&lt;&gt;"X",MASTER!K19&lt;&gt;"",MASTER!$K$2&lt;&gt;BUCKET!H19, MASTER!$K$2&lt;=MASTER!$M$2),MASTER!$K$2,IF(AND(MASTER!J19&lt;&gt;"X",MASTER!J19&lt;&gt;"",MASTER!$J$2&lt;&gt;BUCKET!H19, MASTER!$J$2&lt;=MASTER!$M$2),MASTER!$J$2,IF(AND(MASTER!I19&lt;&gt;"X",MASTER!I19&lt;&gt;"",MASTER!$I$2&lt;&gt;BUCKET!H19, MASTER!$I$2&lt;=MASTER!$M$2),MASTER!$I$2, IF(AND(MASTER!H19&lt;&gt;"X", MASTER!H19&lt;&gt;"", MASTER!$H$2&lt;&gt;BUCKET!H19, MASTER!$H$2&lt;=MASTER!$M$2), MASTER!$H$2, IF(AND(MASTER!G19&lt;&gt;"X", MASTER!G19&lt;&gt;"", MASTER!$G$2&lt;&gt;BUCKET!H19, MASTER!$G$2&lt;=MASTER!$M$2), MASTER!$H$2, IF(AND(MASTER!G19&lt;&gt;"X", MASTER!G19&lt;&gt;"", MASTER!$G$2&lt;&gt;BUCKET!H19, MASTER!$F$2&lt;=MASTER!$M$2), MASTER!$G$2, IF(AND(MASTER!F19&lt;&gt;"X", MASTER!F19&lt;&gt;"", MASTER!$F$2&lt;&gt;BUCKET!H19, MASTER!$F$2&lt;=MASTER!$M$2), MASTER!$F$2, IF(AND(MASTER!E19&lt;&gt;"X", MASTER!E19&lt;&gt;"", MASTER!$E$2&lt;&gt;BUCKET!H19, MASTER!$E$2&lt;=MASTER!$M$2), MASTER!$E$2, IF(AND( MASTER!D19&lt;&gt;"", MASTER!D19&lt;&gt;BUCKET!H19), MASTER!D19, IF(AND(MASTER!C19&lt;&gt;"X", MASTER!C19&lt;&gt;""), MASTER!C19))))))))))</f>
        <v>44192</v>
      </c>
      <c r="H19" s="35">
        <f ca="1">IF(AND(MASTER!K20&lt;&gt;"X", MASTER!K20&lt;&gt;"", MASTER!$K$2&lt;=MASTER!$M$2), MASTER!$K$2, IF(AND(MASTER!J20&lt;&gt;"X", MASTER!J20&lt;&gt;"", MASTER!$J$2&lt;=MASTER!$M$2),MASTER!$J$2, IF(AND(MASTER!I20&lt;&gt;"X", MASTER!I20&lt;&gt;"", MASTER!$I$2&lt;=MASTER!$M$2),MASTER!$I$2, IF(AND(MASTER!H20&lt;&gt;"X", MASTER!H20&lt;&gt;"", MASTER!$H$2&lt;=MASTER!$M$2),MASTER!$H$2, IF(AND(MASTER!G20&lt;&gt;"X", MASTER!G20&lt;&gt;"", MASTER!$F$2&lt;=MASTER!$M$2),MASTER!$G$2, IF(AND(MASTER!F20&lt;&gt;"X", MASTER!F20&lt;&gt;"", MASTER!$F$2&lt;=MASTER!$M$2), MASTER!$F$2, IF(AND(MASTER!E20&lt;&gt;"X", MASTER!E20&lt;&gt;"", MASTER!$E$2&lt;=MASTER!$M$2),MASTER!$E$2, IF(MASTER!D20&lt;&gt;"", MASTER!D20,""))))))))</f>
        <v>44193</v>
      </c>
      <c r="I19" s="8" t="s">
        <v>13</v>
      </c>
      <c r="J19" s="27" t="b">
        <f ca="1">IFERROR(IF(H19="NEW HIRE",FALSE,IF(AND((H19-G19)&lt;=1),($P$2-H19)&lt;=1)), "")</f>
        <v>0</v>
      </c>
      <c r="K19" s="54" t="b">
        <v>0</v>
      </c>
      <c r="L19" s="30" t="str">
        <f ca="1">IFERROR(IF(AND(MASTER!$K$1=MASTER!$N$2,MASTER!K19="X"),"",IF(AND(MASTER!$J$1=MASTER!$N$2,MASTER!J19="X"),"",IF(AND(MASTER!$I$1=MASTER!$N$2,MASTER!I19="X"),"",IF(AND(MASTER!$H$1=MASTER!$N$2,MASTER!H19="X"),"",IF(AND(MASTER!$G$1=MASTER!$N$2,MASTER!G19="X"),"",IF(AND(MASTER!$F$1=MASTER!$N$2,MASTER!F19="X"),"",IF(AND(MASTER!$E$1=MASTER!$N$2,MASTER!E19="X"),"",IF(AND($Q$2&lt;&gt;D19,$Q$2&lt;&gt;E19,$Q$2&lt;&gt;F19,I19="6 to 2",J19=FALSE,K19=FALSE),B19,"")))))))), "")</f>
        <v>Chris Davis</v>
      </c>
      <c r="M19" s="34" t="str">
        <f ca="1">IFERROR(IF(AND(MASTER!$K$1=MASTER!$N$2,MASTER!K19="X"),"",IF(AND(MASTER!$J$1=MASTER!$N$2,MASTER!J19="X"),"",IF(AND(MASTER!$I$1=MASTER!$N$2,MASTER!I19="X"),"",IF(AND(MASTER!$H$1=MASTER!$N$2,MASTER!H19="X"),"",IF(AND(MASTER!$G$1=MASTER!$N$2,MASTER!G19="X"),"",IF(AND(MASTER!$F$1=MASTER!$N$2,MASTER!F19="X"),"",IF(AND(MASTER!$E$1=MASTER!$N$2,MASTER!E19="X"),"",IF(AND($Q$2&lt;&gt;D19,$Q$2&lt;&gt;E19,$Q$2&lt;&gt;F19,I19="2 to 10",J19=FALSE,K19=FALSE),B19,"")))))))), "")</f>
        <v/>
      </c>
      <c r="N19" s="44" t="str">
        <f ca="1">IFERROR(IF(AND(MASTER!$K$1=MASTER!$N$2,MASTER!K19="X"),"",IF(AND(MASTER!$J$1=MASTER!$N$2,MASTER!J19="X"),"",IF(AND(MASTER!$I$1=MASTER!$N$2,MASTER!I19="X"),"",IF(AND(MASTER!$H$1=MASTER!$N$2,MASTER!H19="X"),"",IF(AND(MASTER!$G$1=MASTER!$N$2,MASTER!G19="X"),"",IF(AND(MASTER!$F$1=MASTER!$N$2,MASTER!F19="X"),"",IF(AND(MASTER!$E$1=MASTER!$N$2,MASTER!E19="X"),"",IF(AND($Q$2&lt;&gt;D19,$Q$2&lt;&gt;E19,$Q$2&lt;&gt;F19,I19="10 to 6",J19=FALSE,K19=FALSE),B19,"")))))))), "")</f>
        <v/>
      </c>
      <c r="S19" s="16">
        <v>6</v>
      </c>
      <c r="T19" s="17" t="str">
        <f t="array" aca="1" ref="T19" ca="1">INDIRECT("M"&amp;SMALL(IF(LEN($M$1:$M206)=0, "", ROW($1:$200)), ROW(N8)))</f>
        <v>Reese Martin</v>
      </c>
      <c r="U19" s="3"/>
    </row>
    <row r="20" spans="1:21" ht="16" thickBot="1" x14ac:dyDescent="0.25">
      <c r="A20">
        <v>19</v>
      </c>
      <c r="B20" s="51" t="s">
        <v>53</v>
      </c>
      <c r="C20" s="27">
        <f ca="1">IFERROR(IF(H20="NEW HIRE",100,IF($P$2-H20&lt;=100,$P$2-H20,IF($P$2-H20&gt;=365,0,))), 0)</f>
        <v>0</v>
      </c>
      <c r="D20" s="10" t="s">
        <v>7</v>
      </c>
      <c r="E20" s="10" t="s">
        <v>8</v>
      </c>
      <c r="F20" s="10" t="s">
        <v>3</v>
      </c>
      <c r="G20" s="38">
        <f ca="1">IF(AND(MASTER!K20&lt;&gt;"X",MASTER!K20&lt;&gt;"",MASTER!$K$2&lt;&gt;BUCKET!H20, MASTER!$K$2&lt;=MASTER!$M$2),MASTER!$K$2,IF(AND(MASTER!J20&lt;&gt;"X",MASTER!J20&lt;&gt;"",MASTER!$J$2&lt;&gt;BUCKET!H20, MASTER!$J$2&lt;=MASTER!$M$2),MASTER!$J$2,IF(AND(MASTER!I20&lt;&gt;"X",MASTER!I20&lt;&gt;"",MASTER!$I$2&lt;&gt;BUCKET!H20, MASTER!$I$2&lt;=MASTER!$M$2),MASTER!$I$2, IF(AND(MASTER!H20&lt;&gt;"X", MASTER!H20&lt;&gt;"", MASTER!$H$2&lt;&gt;BUCKET!H20, MASTER!$H$2&lt;=MASTER!$M$2), MASTER!$H$2, IF(AND(MASTER!G20&lt;&gt;"X", MASTER!G20&lt;&gt;"", MASTER!$G$2&lt;&gt;BUCKET!H20, MASTER!$G$2&lt;=MASTER!$M$2), MASTER!$H$2, IF(AND(MASTER!G20&lt;&gt;"X", MASTER!G20&lt;&gt;"", MASTER!$G$2&lt;&gt;BUCKET!H20, MASTER!$F$2&lt;=MASTER!$M$2), MASTER!$G$2, IF(AND(MASTER!F20&lt;&gt;"X", MASTER!F20&lt;&gt;"", MASTER!$F$2&lt;&gt;BUCKET!H20, MASTER!$F$2&lt;=MASTER!$M$2), MASTER!$F$2, IF(AND(MASTER!E20&lt;&gt;"X", MASTER!E20&lt;&gt;"", MASTER!$E$2&lt;&gt;BUCKET!H20, MASTER!$E$2&lt;=MASTER!$M$2), MASTER!$E$2, IF(AND( MASTER!D20&lt;&gt;"", MASTER!D20&lt;&gt;BUCKET!H20), MASTER!D20, IF(AND(MASTER!C20&lt;&gt;"X", MASTER!C20&lt;&gt;""), MASTER!C20))))))))))</f>
        <v>44193</v>
      </c>
      <c r="H20" s="35">
        <f ca="1">IF(AND(MASTER!K21&lt;&gt;"X", MASTER!K21&lt;&gt;"", MASTER!$K$2&lt;=MASTER!$M$2), MASTER!$K$2, IF(AND(MASTER!J21&lt;&gt;"X", MASTER!J21&lt;&gt;"", MASTER!$J$2&lt;=MASTER!$M$2),MASTER!$J$2, IF(AND(MASTER!I21&lt;&gt;"X", MASTER!I21&lt;&gt;"", MASTER!$I$2&lt;=MASTER!$M$2),MASTER!$I$2, IF(AND(MASTER!H21&lt;&gt;"X", MASTER!H21&lt;&gt;"", MASTER!$H$2&lt;=MASTER!$M$2),MASTER!$H$2, IF(AND(MASTER!G21&lt;&gt;"X", MASTER!G21&lt;&gt;"", MASTER!$F$2&lt;=MASTER!$M$2),MASTER!$G$2, IF(AND(MASTER!F21&lt;&gt;"X", MASTER!F21&lt;&gt;"", MASTER!$F$2&lt;=MASTER!$M$2), MASTER!$F$2, IF(AND(MASTER!E21&lt;&gt;"X", MASTER!E21&lt;&gt;"", MASTER!$E$2&lt;=MASTER!$M$2),MASTER!$E$2, IF(MASTER!D21&lt;&gt;"", MASTER!D21,""))))))))</f>
        <v>44194</v>
      </c>
      <c r="I20" s="8" t="s">
        <v>12</v>
      </c>
      <c r="J20" s="27" t="b">
        <f ca="1">IFERROR(IF(H20="NEW HIRE",FALSE,IF(AND((H20-G20)&lt;=1),($P$2-H20)&lt;=1)), "")</f>
        <v>0</v>
      </c>
      <c r="K20" s="54" t="b">
        <v>0</v>
      </c>
      <c r="L20" s="30" t="str">
        <f ca="1">IFERROR(IF(AND(MASTER!$K$1=MASTER!$N$2,MASTER!K20="X"),"",IF(AND(MASTER!$J$1=MASTER!$N$2,MASTER!J20="X"),"",IF(AND(MASTER!$I$1=MASTER!$N$2,MASTER!I20="X"),"",IF(AND(MASTER!$H$1=MASTER!$N$2,MASTER!H20="X"),"",IF(AND(MASTER!$G$1=MASTER!$N$2,MASTER!G20="X"),"",IF(AND(MASTER!$F$1=MASTER!$N$2,MASTER!F20="X"),"",IF(AND(MASTER!$E$1=MASTER!$N$2,MASTER!E20="X"),"",IF(AND($Q$2&lt;&gt;D20,$Q$2&lt;&gt;E20,$Q$2&lt;&gt;F20,I20="6 to 2",J20=FALSE,K20=FALSE),B20,"")))))))), "")</f>
        <v/>
      </c>
      <c r="M20" s="34" t="str">
        <f ca="1">IFERROR(IF(AND(MASTER!$K$1=MASTER!$N$2,MASTER!K20="X"),"",IF(AND(MASTER!$J$1=MASTER!$N$2,MASTER!J20="X"),"",IF(AND(MASTER!$I$1=MASTER!$N$2,MASTER!I20="X"),"",IF(AND(MASTER!$H$1=MASTER!$N$2,MASTER!H20="X"),"",IF(AND(MASTER!$G$1=MASTER!$N$2,MASTER!G20="X"),"",IF(AND(MASTER!$F$1=MASTER!$N$2,MASTER!F20="X"),"",IF(AND(MASTER!$E$1=MASTER!$N$2,MASTER!E20="X"),"",IF(AND($Q$2&lt;&gt;D20,$Q$2&lt;&gt;E20,$Q$2&lt;&gt;F20,I20="2 to 10",J20=FALSE,K20=FALSE),B20,"")))))))), "")</f>
        <v>Cameron White</v>
      </c>
      <c r="N20" s="44" t="str">
        <f ca="1">IFERROR(IF(AND(MASTER!$K$1=MASTER!$N$2,MASTER!K20="X"),"",IF(AND(MASTER!$J$1=MASTER!$N$2,MASTER!J20="X"),"",IF(AND(MASTER!$I$1=MASTER!$N$2,MASTER!I20="X"),"",IF(AND(MASTER!$H$1=MASTER!$N$2,MASTER!H20="X"),"",IF(AND(MASTER!$G$1=MASTER!$N$2,MASTER!G20="X"),"",IF(AND(MASTER!$F$1=MASTER!$N$2,MASTER!F20="X"),"",IF(AND(MASTER!$E$1=MASTER!$N$2,MASTER!E20="X"),"",IF(AND($Q$2&lt;&gt;D20,$Q$2&lt;&gt;E20,$Q$2&lt;&gt;F20,I20="10 to 6",J20=FALSE,K20=FALSE),B20,"")))))))), "")</f>
        <v/>
      </c>
      <c r="S20" s="16">
        <v>7</v>
      </c>
      <c r="T20" s="17" t="str">
        <f t="array" aca="1" ref="T20" ca="1">INDIRECT("M"&amp;SMALL(IF(LEN($M$1:$M207)=0, "", ROW($1:$200)), ROW(N9)))</f>
        <v>Cameron Smith</v>
      </c>
    </row>
    <row r="21" spans="1:21" ht="16" thickBot="1" x14ac:dyDescent="0.25">
      <c r="A21">
        <v>20</v>
      </c>
      <c r="B21" s="51" t="s">
        <v>54</v>
      </c>
      <c r="C21" s="27">
        <f ca="1">IFERROR(IF(H21="NEW HIRE",100,IF($P$2-H21&lt;=100,$P$2-H21,IF($P$2-H21&gt;=365,0,))), 0)</f>
        <v>0</v>
      </c>
      <c r="D21" t="s">
        <v>6</v>
      </c>
      <c r="E21" t="s">
        <v>2</v>
      </c>
      <c r="F21" t="s">
        <v>7</v>
      </c>
      <c r="G21" s="38">
        <f ca="1">IF(AND(MASTER!K21&lt;&gt;"X",MASTER!K21&lt;&gt;"",MASTER!$K$2&lt;&gt;BUCKET!H21, MASTER!$K$2&lt;=MASTER!$M$2),MASTER!$K$2,IF(AND(MASTER!J21&lt;&gt;"X",MASTER!J21&lt;&gt;"",MASTER!$J$2&lt;&gt;BUCKET!H21, MASTER!$J$2&lt;=MASTER!$M$2),MASTER!$J$2,IF(AND(MASTER!I21&lt;&gt;"X",MASTER!I21&lt;&gt;"",MASTER!$I$2&lt;&gt;BUCKET!H21, MASTER!$I$2&lt;=MASTER!$M$2),MASTER!$I$2, IF(AND(MASTER!H21&lt;&gt;"X", MASTER!H21&lt;&gt;"", MASTER!$H$2&lt;&gt;BUCKET!H21, MASTER!$H$2&lt;=MASTER!$M$2), MASTER!$H$2, IF(AND(MASTER!G21&lt;&gt;"X", MASTER!G21&lt;&gt;"", MASTER!$G$2&lt;&gt;BUCKET!H21, MASTER!$G$2&lt;=MASTER!$M$2), MASTER!$H$2, IF(AND(MASTER!G21&lt;&gt;"X", MASTER!G21&lt;&gt;"", MASTER!$G$2&lt;&gt;BUCKET!H21, MASTER!$F$2&lt;=MASTER!$M$2), MASTER!$G$2, IF(AND(MASTER!F21&lt;&gt;"X", MASTER!F21&lt;&gt;"", MASTER!$F$2&lt;&gt;BUCKET!H21, MASTER!$F$2&lt;=MASTER!$M$2), MASTER!$F$2, IF(AND(MASTER!E21&lt;&gt;"X", MASTER!E21&lt;&gt;"", MASTER!$E$2&lt;&gt;BUCKET!H21, MASTER!$E$2&lt;=MASTER!$M$2), MASTER!$E$2, IF(AND( MASTER!D21&lt;&gt;"", MASTER!D21&lt;&gt;BUCKET!H21), MASTER!D21, IF(AND(MASTER!C21&lt;&gt;"X", MASTER!C21&lt;&gt;""), MASTER!C21))))))))))</f>
        <v>44194</v>
      </c>
      <c r="H21" s="35">
        <f ca="1">IF(AND(MASTER!K22&lt;&gt;"X", MASTER!K22&lt;&gt;"", MASTER!$K$2&lt;=MASTER!$M$2), MASTER!$K$2, IF(AND(MASTER!J22&lt;&gt;"X", MASTER!J22&lt;&gt;"", MASTER!$J$2&lt;=MASTER!$M$2),MASTER!$J$2, IF(AND(MASTER!I22&lt;&gt;"X", MASTER!I22&lt;&gt;"", MASTER!$I$2&lt;=MASTER!$M$2),MASTER!$I$2, IF(AND(MASTER!H22&lt;&gt;"X", MASTER!H22&lt;&gt;"", MASTER!$H$2&lt;=MASTER!$M$2),MASTER!$H$2, IF(AND(MASTER!G22&lt;&gt;"X", MASTER!G22&lt;&gt;"", MASTER!$F$2&lt;=MASTER!$M$2),MASTER!$G$2, IF(AND(MASTER!F22&lt;&gt;"X", MASTER!F22&lt;&gt;"", MASTER!$F$2&lt;=MASTER!$M$2), MASTER!$F$2, IF(AND(MASTER!E22&lt;&gt;"X", MASTER!E22&lt;&gt;"", MASTER!$E$2&lt;=MASTER!$M$2),MASTER!$E$2, IF(MASTER!D22&lt;&gt;"", MASTER!D22,""))))))))</f>
        <v>44195</v>
      </c>
      <c r="I21" s="8" t="s">
        <v>13</v>
      </c>
      <c r="J21" s="27" t="b">
        <f ca="1">IFERROR(IF(H21="NEW HIRE",FALSE,IF(AND((H21-G21)&lt;=1),($P$2-H21)&lt;=1)), "")</f>
        <v>0</v>
      </c>
      <c r="K21" s="54" t="b">
        <v>0</v>
      </c>
      <c r="L21" s="30" t="str">
        <f ca="1">IFERROR(IF(AND(MASTER!$K$1=MASTER!$N$2,MASTER!K21="X"),"",IF(AND(MASTER!$J$1=MASTER!$N$2,MASTER!J21="X"),"",IF(AND(MASTER!$I$1=MASTER!$N$2,MASTER!I21="X"),"",IF(AND(MASTER!$H$1=MASTER!$N$2,MASTER!H21="X"),"",IF(AND(MASTER!$G$1=MASTER!$N$2,MASTER!G21="X"),"",IF(AND(MASTER!$F$1=MASTER!$N$2,MASTER!F21="X"),"",IF(AND(MASTER!$E$1=MASTER!$N$2,MASTER!E21="X"),"",IF(AND($Q$2&lt;&gt;D21,$Q$2&lt;&gt;E21,$Q$2&lt;&gt;F21,I21="6 to 2",J21=FALSE,K21=FALSE),B21,"")))))))), "")</f>
        <v/>
      </c>
      <c r="M21" s="34" t="str">
        <f ca="1">IFERROR(IF(AND(MASTER!$K$1=MASTER!$N$2,MASTER!K21="X"),"",IF(AND(MASTER!$J$1=MASTER!$N$2,MASTER!J21="X"),"",IF(AND(MASTER!$I$1=MASTER!$N$2,MASTER!I21="X"),"",IF(AND(MASTER!$H$1=MASTER!$N$2,MASTER!H21="X"),"",IF(AND(MASTER!$G$1=MASTER!$N$2,MASTER!G21="X"),"",IF(AND(MASTER!$F$1=MASTER!$N$2,MASTER!F21="X"),"",IF(AND(MASTER!$E$1=MASTER!$N$2,MASTER!E21="X"),"",IF(AND($Q$2&lt;&gt;D21,$Q$2&lt;&gt;E21,$Q$2&lt;&gt;F21,I21="2 to 10",J21=FALSE,K21=FALSE),B21,"")))))))), "")</f>
        <v/>
      </c>
      <c r="N21" s="44" t="str">
        <f ca="1">IFERROR(IF(AND(MASTER!$K$1=MASTER!$N$2,MASTER!K21="X"),"",IF(AND(MASTER!$J$1=MASTER!$N$2,MASTER!J21="X"),"",IF(AND(MASTER!$I$1=MASTER!$N$2,MASTER!I21="X"),"",IF(AND(MASTER!$H$1=MASTER!$N$2,MASTER!H21="X"),"",IF(AND(MASTER!$G$1=MASTER!$N$2,MASTER!G21="X"),"",IF(AND(MASTER!$F$1=MASTER!$N$2,MASTER!F21="X"),"",IF(AND(MASTER!$E$1=MASTER!$N$2,MASTER!E21="X"),"",IF(AND($Q$2&lt;&gt;D21,$Q$2&lt;&gt;E21,$Q$2&lt;&gt;F21,I21="10 to 6",J21=FALSE,K21=FALSE),B21,"")))))))), "")</f>
        <v/>
      </c>
      <c r="P21" s="5"/>
      <c r="S21" s="16">
        <v>8</v>
      </c>
      <c r="T21" s="17" t="str">
        <f t="array" aca="1" ref="T21" ca="1">INDIRECT("M"&amp;SMALL(IF(LEN($M$1:$M208)=0, "", ROW($1:$200)), ROW(N10)))</f>
        <v>Sam Johnson</v>
      </c>
    </row>
    <row r="22" spans="1:21" ht="16" thickBot="1" x14ac:dyDescent="0.25">
      <c r="A22">
        <v>21</v>
      </c>
      <c r="B22" s="51" t="s">
        <v>55</v>
      </c>
      <c r="C22" s="27">
        <f ca="1">IFERROR(IF(H22="NEW HIRE",100,IF($P$2-H22&lt;=100,$P$2-H22,IF($P$2-H22&gt;=365,0,))), 0)</f>
        <v>0</v>
      </c>
      <c r="D22" t="s">
        <v>6</v>
      </c>
      <c r="E22" t="s">
        <v>2</v>
      </c>
      <c r="F22" t="s">
        <v>7</v>
      </c>
      <c r="G22" s="38">
        <f ca="1">IF(AND(MASTER!K22&lt;&gt;"X",MASTER!K22&lt;&gt;"",MASTER!$K$2&lt;&gt;BUCKET!H22, MASTER!$K$2&lt;=MASTER!$M$2),MASTER!$K$2,IF(AND(MASTER!J22&lt;&gt;"X",MASTER!J22&lt;&gt;"",MASTER!$J$2&lt;&gt;BUCKET!H22, MASTER!$J$2&lt;=MASTER!$M$2),MASTER!$J$2,IF(AND(MASTER!I22&lt;&gt;"X",MASTER!I22&lt;&gt;"",MASTER!$I$2&lt;&gt;BUCKET!H22, MASTER!$I$2&lt;=MASTER!$M$2),MASTER!$I$2, IF(AND(MASTER!H22&lt;&gt;"X", MASTER!H22&lt;&gt;"", MASTER!$H$2&lt;&gt;BUCKET!H22, MASTER!$H$2&lt;=MASTER!$M$2), MASTER!$H$2, IF(AND(MASTER!G22&lt;&gt;"X", MASTER!G22&lt;&gt;"", MASTER!$G$2&lt;&gt;BUCKET!H22, MASTER!$G$2&lt;=MASTER!$M$2), MASTER!$H$2, IF(AND(MASTER!G22&lt;&gt;"X", MASTER!G22&lt;&gt;"", MASTER!$G$2&lt;&gt;BUCKET!H22, MASTER!$F$2&lt;=MASTER!$M$2), MASTER!$G$2, IF(AND(MASTER!F22&lt;&gt;"X", MASTER!F22&lt;&gt;"", MASTER!$F$2&lt;&gt;BUCKET!H22, MASTER!$F$2&lt;=MASTER!$M$2), MASTER!$F$2, IF(AND(MASTER!E22&lt;&gt;"X", MASTER!E22&lt;&gt;"", MASTER!$E$2&lt;&gt;BUCKET!H22, MASTER!$E$2&lt;=MASTER!$M$2), MASTER!$E$2, IF(AND( MASTER!D22&lt;&gt;"", MASTER!D22&lt;&gt;BUCKET!H22), MASTER!D22, IF(AND(MASTER!C22&lt;&gt;"X", MASTER!C22&lt;&gt;""), MASTER!C22))))))))))</f>
        <v>44195</v>
      </c>
      <c r="H22" s="35">
        <f ca="1">IF(AND(MASTER!K23&lt;&gt;"X", MASTER!K23&lt;&gt;"", MASTER!$K$2&lt;=MASTER!$M$2), MASTER!$K$2, IF(AND(MASTER!J23&lt;&gt;"X", MASTER!J23&lt;&gt;"", MASTER!$J$2&lt;=MASTER!$M$2),MASTER!$J$2, IF(AND(MASTER!I23&lt;&gt;"X", MASTER!I23&lt;&gt;"", MASTER!$I$2&lt;=MASTER!$M$2),MASTER!$I$2, IF(AND(MASTER!H23&lt;&gt;"X", MASTER!H23&lt;&gt;"", MASTER!$H$2&lt;=MASTER!$M$2),MASTER!$H$2, IF(AND(MASTER!G23&lt;&gt;"X", MASTER!G23&lt;&gt;"", MASTER!$F$2&lt;=MASTER!$M$2),MASTER!$G$2, IF(AND(MASTER!F23&lt;&gt;"X", MASTER!F23&lt;&gt;"", MASTER!$F$2&lt;=MASTER!$M$2), MASTER!$F$2, IF(AND(MASTER!E23&lt;&gt;"X", MASTER!E23&lt;&gt;"", MASTER!$E$2&lt;=MASTER!$M$2),MASTER!$E$2, IF(MASTER!D23&lt;&gt;"", MASTER!D23,""))))))))</f>
        <v>44196</v>
      </c>
      <c r="I22" s="8" t="s">
        <v>13</v>
      </c>
      <c r="J22" s="27" t="b">
        <f ca="1">IFERROR(IF(H22="NEW HIRE",FALSE,IF(AND((H22-G22)&lt;=1),($P$2-H22)&lt;=1)), "")</f>
        <v>0</v>
      </c>
      <c r="K22" s="54" t="b">
        <v>0</v>
      </c>
      <c r="L22" s="30" t="str">
        <f ca="1">IFERROR(IF(AND(MASTER!$K$1=MASTER!$N$2,MASTER!K22="X"),"",IF(AND(MASTER!$J$1=MASTER!$N$2,MASTER!J22="X"),"",IF(AND(MASTER!$I$1=MASTER!$N$2,MASTER!I22="X"),"",IF(AND(MASTER!$H$1=MASTER!$N$2,MASTER!H22="X"),"",IF(AND(MASTER!$G$1=MASTER!$N$2,MASTER!G22="X"),"",IF(AND(MASTER!$F$1=MASTER!$N$2,MASTER!F22="X"),"",IF(AND(MASTER!$E$1=MASTER!$N$2,MASTER!E22="X"),"",IF(AND($Q$2&lt;&gt;D22,$Q$2&lt;&gt;E22,$Q$2&lt;&gt;F22,I22="6 to 2",J22=FALSE,K22=FALSE),B22,"")))))))), "")</f>
        <v/>
      </c>
      <c r="M22" s="34" t="str">
        <f ca="1">IFERROR(IF(AND(MASTER!$K$1=MASTER!$N$2,MASTER!K22="X"),"",IF(AND(MASTER!$J$1=MASTER!$N$2,MASTER!J22="X"),"",IF(AND(MASTER!$I$1=MASTER!$N$2,MASTER!I22="X"),"",IF(AND(MASTER!$H$1=MASTER!$N$2,MASTER!H22="X"),"",IF(AND(MASTER!$G$1=MASTER!$N$2,MASTER!G22="X"),"",IF(AND(MASTER!$F$1=MASTER!$N$2,MASTER!F22="X"),"",IF(AND(MASTER!$E$1=MASTER!$N$2,MASTER!E22="X"),"",IF(AND($Q$2&lt;&gt;D22,$Q$2&lt;&gt;E22,$Q$2&lt;&gt;F22,I22="2 to 10",J22=FALSE,K22=FALSE),B22,"")))))))), "")</f>
        <v/>
      </c>
      <c r="N22" s="44" t="str">
        <f ca="1">IFERROR(IF(AND(MASTER!$K$1=MASTER!$N$2,MASTER!K22="X"),"",IF(AND(MASTER!$J$1=MASTER!$N$2,MASTER!J22="X"),"",IF(AND(MASTER!$I$1=MASTER!$N$2,MASTER!I22="X"),"",IF(AND(MASTER!$H$1=MASTER!$N$2,MASTER!H22="X"),"",IF(AND(MASTER!$G$1=MASTER!$N$2,MASTER!G22="X"),"",IF(AND(MASTER!$F$1=MASTER!$N$2,MASTER!F22="X"),"",IF(AND(MASTER!$E$1=MASTER!$N$2,MASTER!E22="X"),"",IF(AND($Q$2&lt;&gt;D22,$Q$2&lt;&gt;E22,$Q$2&lt;&gt;F22,I22="10 to 6",J22=FALSE,K22=FALSE),B22,"")))))))), "")</f>
        <v/>
      </c>
      <c r="S22" s="16">
        <v>9</v>
      </c>
      <c r="T22" s="17" t="str">
        <f t="array" aca="1" ref="T22" ca="1">INDIRECT("M"&amp;SMALL(IF(LEN($M$1:$M209)=0, "", ROW($1:$200)), ROW(N11)))</f>
        <v>Chris Johnson</v>
      </c>
    </row>
    <row r="23" spans="1:21" ht="16" thickBot="1" x14ac:dyDescent="0.25">
      <c r="A23">
        <v>22</v>
      </c>
      <c r="B23" s="51" t="s">
        <v>56</v>
      </c>
      <c r="C23" s="27">
        <f ca="1">IFERROR(IF(H23="NEW HIRE",100,IF($P$2-H23&lt;=100,$P$2-H23,IF($P$2-H23&gt;=365,0,))), 0)</f>
        <v>0</v>
      </c>
      <c r="D23" t="s">
        <v>5</v>
      </c>
      <c r="E23" t="s">
        <v>6</v>
      </c>
      <c r="F23" t="s">
        <v>2</v>
      </c>
      <c r="G23" s="38">
        <f ca="1">IF(AND(MASTER!K23&lt;&gt;"X",MASTER!K23&lt;&gt;"",MASTER!$K$2&lt;&gt;BUCKET!H23, MASTER!$K$2&lt;=MASTER!$M$2),MASTER!$K$2,IF(AND(MASTER!J23&lt;&gt;"X",MASTER!J23&lt;&gt;"",MASTER!$J$2&lt;&gt;BUCKET!H23, MASTER!$J$2&lt;=MASTER!$M$2),MASTER!$J$2,IF(AND(MASTER!I23&lt;&gt;"X",MASTER!I23&lt;&gt;"",MASTER!$I$2&lt;&gt;BUCKET!H23, MASTER!$I$2&lt;=MASTER!$M$2),MASTER!$I$2, IF(AND(MASTER!H23&lt;&gt;"X", MASTER!H23&lt;&gt;"", MASTER!$H$2&lt;&gt;BUCKET!H23, MASTER!$H$2&lt;=MASTER!$M$2), MASTER!$H$2, IF(AND(MASTER!G23&lt;&gt;"X", MASTER!G23&lt;&gt;"", MASTER!$G$2&lt;&gt;BUCKET!H23, MASTER!$G$2&lt;=MASTER!$M$2), MASTER!$H$2, IF(AND(MASTER!G23&lt;&gt;"X", MASTER!G23&lt;&gt;"", MASTER!$G$2&lt;&gt;BUCKET!H23, MASTER!$F$2&lt;=MASTER!$M$2), MASTER!$G$2, IF(AND(MASTER!F23&lt;&gt;"X", MASTER!F23&lt;&gt;"", MASTER!$F$2&lt;&gt;BUCKET!H23, MASTER!$F$2&lt;=MASTER!$M$2), MASTER!$F$2, IF(AND(MASTER!E23&lt;&gt;"X", MASTER!E23&lt;&gt;"", MASTER!$E$2&lt;&gt;BUCKET!H23, MASTER!$E$2&lt;=MASTER!$M$2), MASTER!$E$2, IF(AND( MASTER!D23&lt;&gt;"", MASTER!D23&lt;&gt;BUCKET!H23), MASTER!D23, IF(AND(MASTER!C23&lt;&gt;"X", MASTER!C23&lt;&gt;""), MASTER!C23))))))))))</f>
        <v>44196</v>
      </c>
      <c r="H23" s="35">
        <f ca="1">IF(AND(MASTER!K24&lt;&gt;"X", MASTER!K24&lt;&gt;"", MASTER!$K$2&lt;=MASTER!$M$2), MASTER!$K$2, IF(AND(MASTER!J24&lt;&gt;"X", MASTER!J24&lt;&gt;"", MASTER!$J$2&lt;=MASTER!$M$2),MASTER!$J$2, IF(AND(MASTER!I24&lt;&gt;"X", MASTER!I24&lt;&gt;"", MASTER!$I$2&lt;=MASTER!$M$2),MASTER!$I$2, IF(AND(MASTER!H24&lt;&gt;"X", MASTER!H24&lt;&gt;"", MASTER!$H$2&lt;=MASTER!$M$2),MASTER!$H$2, IF(AND(MASTER!G24&lt;&gt;"X", MASTER!G24&lt;&gt;"", MASTER!$F$2&lt;=MASTER!$M$2),MASTER!$G$2, IF(AND(MASTER!F24&lt;&gt;"X", MASTER!F24&lt;&gt;"", MASTER!$F$2&lt;=MASTER!$M$2), MASTER!$F$2, IF(AND(MASTER!E24&lt;&gt;"X", MASTER!E24&lt;&gt;"", MASTER!$E$2&lt;=MASTER!$M$2),MASTER!$E$2, IF(MASTER!D24&lt;&gt;"", MASTER!D24,""))))))))</f>
        <v>44197</v>
      </c>
      <c r="I23" s="8" t="s">
        <v>13</v>
      </c>
      <c r="J23" s="27" t="b">
        <f ca="1">IFERROR(IF(H23="NEW HIRE",FALSE,IF(AND((H23-G23)&lt;=1),($P$2-H23)&lt;=1)), "")</f>
        <v>0</v>
      </c>
      <c r="K23" s="54" t="b">
        <v>0</v>
      </c>
      <c r="L23" s="30" t="str">
        <f ca="1">IFERROR(IF(AND(MASTER!$K$1=MASTER!$N$2,MASTER!K23="X"),"",IF(AND(MASTER!$J$1=MASTER!$N$2,MASTER!J23="X"),"",IF(AND(MASTER!$I$1=MASTER!$N$2,MASTER!I23="X"),"",IF(AND(MASTER!$H$1=MASTER!$N$2,MASTER!H23="X"),"",IF(AND(MASTER!$G$1=MASTER!$N$2,MASTER!G23="X"),"",IF(AND(MASTER!$F$1=MASTER!$N$2,MASTER!F23="X"),"",IF(AND(MASTER!$E$1=MASTER!$N$2,MASTER!E23="X"),"",IF(AND($Q$2&lt;&gt;D23,$Q$2&lt;&gt;E23,$Q$2&lt;&gt;F23,I23="6 to 2",J23=FALSE,K23=FALSE),B23,"")))))))), "")</f>
        <v/>
      </c>
      <c r="M23" s="34" t="str">
        <f ca="1">IFERROR(IF(AND(MASTER!$K$1=MASTER!$N$2,MASTER!K23="X"),"",IF(AND(MASTER!$J$1=MASTER!$N$2,MASTER!J23="X"),"",IF(AND(MASTER!$I$1=MASTER!$N$2,MASTER!I23="X"),"",IF(AND(MASTER!$H$1=MASTER!$N$2,MASTER!H23="X"),"",IF(AND(MASTER!$G$1=MASTER!$N$2,MASTER!G23="X"),"",IF(AND(MASTER!$F$1=MASTER!$N$2,MASTER!F23="X"),"",IF(AND(MASTER!$E$1=MASTER!$N$2,MASTER!E23="X"),"",IF(AND($Q$2&lt;&gt;D23,$Q$2&lt;&gt;E23,$Q$2&lt;&gt;F23,I23="2 to 10",J23=FALSE,K23=FALSE),B23,"")))))))), "")</f>
        <v/>
      </c>
      <c r="N23" s="44" t="str">
        <f ca="1">IFERROR(IF(AND(MASTER!$K$1=MASTER!$N$2,MASTER!K23="X"),"",IF(AND(MASTER!$J$1=MASTER!$N$2,MASTER!J23="X"),"",IF(AND(MASTER!$I$1=MASTER!$N$2,MASTER!I23="X"),"",IF(AND(MASTER!$H$1=MASTER!$N$2,MASTER!H23="X"),"",IF(AND(MASTER!$G$1=MASTER!$N$2,MASTER!G23="X"),"",IF(AND(MASTER!$F$1=MASTER!$N$2,MASTER!F23="X"),"",IF(AND(MASTER!$E$1=MASTER!$N$2,MASTER!E23="X"),"",IF(AND($Q$2&lt;&gt;D23,$Q$2&lt;&gt;E23,$Q$2&lt;&gt;F23,I23="10 to 6",J23=FALSE,K23=FALSE),B23,"")))))))), "")</f>
        <v/>
      </c>
      <c r="S23" s="18">
        <v>10</v>
      </c>
      <c r="T23" s="19" t="str">
        <f t="array" aca="1" ref="T23" ca="1">INDIRECT("M"&amp;SMALL(IF(LEN($M$1:$M210)=0, "", ROW($1:$200)), ROW(N12)))</f>
        <v>Jordan Johnson</v>
      </c>
    </row>
    <row r="24" spans="1:21" ht="16" thickBot="1" x14ac:dyDescent="0.25">
      <c r="A24">
        <v>23</v>
      </c>
      <c r="B24" s="51" t="s">
        <v>57</v>
      </c>
      <c r="C24" s="27">
        <f ca="1">IFERROR(IF(H24="NEW HIRE",100,IF($P$2-H24&lt;=100,$P$2-H24,IF($P$2-H24&gt;=365,0,))), 0)</f>
        <v>0</v>
      </c>
      <c r="D24" t="s">
        <v>8</v>
      </c>
      <c r="E24" t="s">
        <v>3</v>
      </c>
      <c r="F24" t="s">
        <v>4</v>
      </c>
      <c r="G24" s="38">
        <f ca="1">IF(AND(MASTER!K24&lt;&gt;"X",MASTER!K24&lt;&gt;"",MASTER!$K$2&lt;&gt;BUCKET!H24, MASTER!$K$2&lt;=MASTER!$M$2),MASTER!$K$2,IF(AND(MASTER!J24&lt;&gt;"X",MASTER!J24&lt;&gt;"",MASTER!$J$2&lt;&gt;BUCKET!H24, MASTER!$J$2&lt;=MASTER!$M$2),MASTER!$J$2,IF(AND(MASTER!I24&lt;&gt;"X",MASTER!I24&lt;&gt;"",MASTER!$I$2&lt;&gt;BUCKET!H24, MASTER!$I$2&lt;=MASTER!$M$2),MASTER!$I$2, IF(AND(MASTER!H24&lt;&gt;"X", MASTER!H24&lt;&gt;"", MASTER!$H$2&lt;&gt;BUCKET!H24, MASTER!$H$2&lt;=MASTER!$M$2), MASTER!$H$2, IF(AND(MASTER!G24&lt;&gt;"X", MASTER!G24&lt;&gt;"", MASTER!$G$2&lt;&gt;BUCKET!H24, MASTER!$G$2&lt;=MASTER!$M$2), MASTER!$H$2, IF(AND(MASTER!G24&lt;&gt;"X", MASTER!G24&lt;&gt;"", MASTER!$G$2&lt;&gt;BUCKET!H24, MASTER!$F$2&lt;=MASTER!$M$2), MASTER!$G$2, IF(AND(MASTER!F24&lt;&gt;"X", MASTER!F24&lt;&gt;"", MASTER!$F$2&lt;&gt;BUCKET!H24, MASTER!$F$2&lt;=MASTER!$M$2), MASTER!$F$2, IF(AND(MASTER!E24&lt;&gt;"X", MASTER!E24&lt;&gt;"", MASTER!$E$2&lt;&gt;BUCKET!H24, MASTER!$E$2&lt;=MASTER!$M$2), MASTER!$E$2, IF(AND( MASTER!D24&lt;&gt;"", MASTER!D24&lt;&gt;BUCKET!H24), MASTER!D24, IF(AND(MASTER!C24&lt;&gt;"X", MASTER!C24&lt;&gt;""), MASTER!C24))))))))))</f>
        <v>44197</v>
      </c>
      <c r="H24" s="35">
        <f ca="1">IF(AND(MASTER!K25&lt;&gt;"X", MASTER!K25&lt;&gt;"", MASTER!$K$2&lt;=MASTER!$M$2), MASTER!$K$2, IF(AND(MASTER!J25&lt;&gt;"X", MASTER!J25&lt;&gt;"", MASTER!$J$2&lt;=MASTER!$M$2),MASTER!$J$2, IF(AND(MASTER!I25&lt;&gt;"X", MASTER!I25&lt;&gt;"", MASTER!$I$2&lt;=MASTER!$M$2),MASTER!$I$2, IF(AND(MASTER!H25&lt;&gt;"X", MASTER!H25&lt;&gt;"", MASTER!$H$2&lt;=MASTER!$M$2),MASTER!$H$2, IF(AND(MASTER!G25&lt;&gt;"X", MASTER!G25&lt;&gt;"", MASTER!$F$2&lt;=MASTER!$M$2),MASTER!$G$2, IF(AND(MASTER!F25&lt;&gt;"X", MASTER!F25&lt;&gt;"", MASTER!$F$2&lt;=MASTER!$M$2), MASTER!$F$2, IF(AND(MASTER!E25&lt;&gt;"X", MASTER!E25&lt;&gt;"", MASTER!$E$2&lt;=MASTER!$M$2),MASTER!$E$2, IF(MASTER!D25&lt;&gt;"", MASTER!D25,""))))))))</f>
        <v>44198</v>
      </c>
      <c r="I24" s="8" t="s">
        <v>16</v>
      </c>
      <c r="J24" s="27" t="b">
        <f ca="1">IFERROR(IF(H24="NEW HIRE",FALSE,IF(AND((H24-G24)&lt;=1),($P$2-H24)&lt;=1)), "")</f>
        <v>0</v>
      </c>
      <c r="K24" s="54" t="b">
        <v>0</v>
      </c>
      <c r="L24" s="30" t="str">
        <f ca="1">IFERROR(IF(AND(MASTER!$K$1=MASTER!$N$2,MASTER!K24="X"),"",IF(AND(MASTER!$J$1=MASTER!$N$2,MASTER!J24="X"),"",IF(AND(MASTER!$I$1=MASTER!$N$2,MASTER!I24="X"),"",IF(AND(MASTER!$H$1=MASTER!$N$2,MASTER!H24="X"),"",IF(AND(MASTER!$G$1=MASTER!$N$2,MASTER!G24="X"),"",IF(AND(MASTER!$F$1=MASTER!$N$2,MASTER!F24="X"),"",IF(AND(MASTER!$E$1=MASTER!$N$2,MASTER!E24="X"),"",IF(AND($Q$2&lt;&gt;D24,$Q$2&lt;&gt;E24,$Q$2&lt;&gt;F24,I24="6 to 2",J24=FALSE,K24=FALSE),B24,"")))))))), "")</f>
        <v/>
      </c>
      <c r="M24" s="34" t="str">
        <f ca="1">IFERROR(IF(AND(MASTER!$K$1=MASTER!$N$2,MASTER!K24="X"),"",IF(AND(MASTER!$J$1=MASTER!$N$2,MASTER!J24="X"),"",IF(AND(MASTER!$I$1=MASTER!$N$2,MASTER!I24="X"),"",IF(AND(MASTER!$H$1=MASTER!$N$2,MASTER!H24="X"),"",IF(AND(MASTER!$G$1=MASTER!$N$2,MASTER!G24="X"),"",IF(AND(MASTER!$F$1=MASTER!$N$2,MASTER!F24="X"),"",IF(AND(MASTER!$E$1=MASTER!$N$2,MASTER!E24="X"),"",IF(AND($Q$2&lt;&gt;D24,$Q$2&lt;&gt;E24,$Q$2&lt;&gt;F24,I24="2 to 10",J24=FALSE,K24=FALSE),B24,"")))))))), "")</f>
        <v/>
      </c>
      <c r="N24" s="44" t="str">
        <f ca="1">IFERROR(IF(AND(MASTER!$K$1=MASTER!$N$2,MASTER!K24="X"),"",IF(AND(MASTER!$J$1=MASTER!$N$2,MASTER!J24="X"),"",IF(AND(MASTER!$I$1=MASTER!$N$2,MASTER!I24="X"),"",IF(AND(MASTER!$H$1=MASTER!$N$2,MASTER!H24="X"),"",IF(AND(MASTER!$G$1=MASTER!$N$2,MASTER!G24="X"),"",IF(AND(MASTER!$F$1=MASTER!$N$2,MASTER!F24="X"),"",IF(AND(MASTER!$E$1=MASTER!$N$2,MASTER!E24="X"),"",IF(AND($Q$2&lt;&gt;D24,$Q$2&lt;&gt;E24,$Q$2&lt;&gt;F24,I24="10 to 6",J24=FALSE,K24=FALSE),B24,"")))))))), "")</f>
        <v>Drew Williams</v>
      </c>
      <c r="S24" s="12" t="s">
        <v>20</v>
      </c>
      <c r="T24" s="13">
        <f ca="1">COUNTIF(I4:I200, "2 to 10")</f>
        <v>26</v>
      </c>
    </row>
    <row r="25" spans="1:21" ht="16" thickBot="1" x14ac:dyDescent="0.25">
      <c r="A25">
        <v>24</v>
      </c>
      <c r="B25" s="51" t="s">
        <v>58</v>
      </c>
      <c r="C25" s="27">
        <f ca="1">IFERROR(IF(H25="NEW HIRE",100,IF($P$2-H25&lt;=100,$P$2-H25,IF($P$2-H25&gt;=365,0,))), 0)</f>
        <v>0</v>
      </c>
      <c r="D25" t="s">
        <v>2</v>
      </c>
      <c r="E25" t="s">
        <v>7</v>
      </c>
      <c r="F25" t="s">
        <v>8</v>
      </c>
      <c r="G25" s="38">
        <f ca="1">IF(AND(MASTER!K25&lt;&gt;"X",MASTER!K25&lt;&gt;"",MASTER!$K$2&lt;&gt;BUCKET!H25, MASTER!$K$2&lt;=MASTER!$M$2),MASTER!$K$2,IF(AND(MASTER!J25&lt;&gt;"X",MASTER!J25&lt;&gt;"",MASTER!$J$2&lt;&gt;BUCKET!H25, MASTER!$J$2&lt;=MASTER!$M$2),MASTER!$J$2,IF(AND(MASTER!I25&lt;&gt;"X",MASTER!I25&lt;&gt;"",MASTER!$I$2&lt;&gt;BUCKET!H25, MASTER!$I$2&lt;=MASTER!$M$2),MASTER!$I$2, IF(AND(MASTER!H25&lt;&gt;"X", MASTER!H25&lt;&gt;"", MASTER!$H$2&lt;&gt;BUCKET!H25, MASTER!$H$2&lt;=MASTER!$M$2), MASTER!$H$2, IF(AND(MASTER!G25&lt;&gt;"X", MASTER!G25&lt;&gt;"", MASTER!$G$2&lt;&gt;BUCKET!H25, MASTER!$G$2&lt;=MASTER!$M$2), MASTER!$H$2, IF(AND(MASTER!G25&lt;&gt;"X", MASTER!G25&lt;&gt;"", MASTER!$G$2&lt;&gt;BUCKET!H25, MASTER!$F$2&lt;=MASTER!$M$2), MASTER!$G$2, IF(AND(MASTER!F25&lt;&gt;"X", MASTER!F25&lt;&gt;"", MASTER!$F$2&lt;&gt;BUCKET!H25, MASTER!$F$2&lt;=MASTER!$M$2), MASTER!$F$2, IF(AND(MASTER!E25&lt;&gt;"X", MASTER!E25&lt;&gt;"", MASTER!$E$2&lt;&gt;BUCKET!H25, MASTER!$E$2&lt;=MASTER!$M$2), MASTER!$E$2, IF(AND( MASTER!D25&lt;&gt;"", MASTER!D25&lt;&gt;BUCKET!H25), MASTER!D25, IF(AND(MASTER!C25&lt;&gt;"X", MASTER!C25&lt;&gt;""), MASTER!C25))))))))))</f>
        <v>44198</v>
      </c>
      <c r="H25" s="35">
        <f ca="1">IF(AND(MASTER!K26&lt;&gt;"X", MASTER!K26&lt;&gt;"", MASTER!$K$2&lt;=MASTER!$M$2), MASTER!$K$2, IF(AND(MASTER!J26&lt;&gt;"X", MASTER!J26&lt;&gt;"", MASTER!$J$2&lt;=MASTER!$M$2),MASTER!$J$2, IF(AND(MASTER!I26&lt;&gt;"X", MASTER!I26&lt;&gt;"", MASTER!$I$2&lt;=MASTER!$M$2),MASTER!$I$2, IF(AND(MASTER!H26&lt;&gt;"X", MASTER!H26&lt;&gt;"", MASTER!$H$2&lt;=MASTER!$M$2),MASTER!$H$2, IF(AND(MASTER!G26&lt;&gt;"X", MASTER!G26&lt;&gt;"", MASTER!$F$2&lt;=MASTER!$M$2),MASTER!$G$2, IF(AND(MASTER!F26&lt;&gt;"X", MASTER!F26&lt;&gt;"", MASTER!$F$2&lt;=MASTER!$M$2), MASTER!$F$2, IF(AND(MASTER!E26&lt;&gt;"X", MASTER!E26&lt;&gt;"", MASTER!$E$2&lt;=MASTER!$M$2),MASTER!$E$2, IF(MASTER!D26&lt;&gt;"", MASTER!D26,""))))))))</f>
        <v>44199</v>
      </c>
      <c r="I25" s="8" t="s">
        <v>16</v>
      </c>
      <c r="J25" s="27" t="b">
        <f ca="1">IFERROR(IF(H25="NEW HIRE",FALSE,IF(AND((H25-G25)&lt;=1),($P$2-H25)&lt;=1)), "")</f>
        <v>0</v>
      </c>
      <c r="K25" s="54" t="b">
        <v>0</v>
      </c>
      <c r="L25" s="30" t="str">
        <f ca="1">IFERROR(IF(AND(MASTER!$K$1=MASTER!$N$2,MASTER!K25="X"),"",IF(AND(MASTER!$J$1=MASTER!$N$2,MASTER!J25="X"),"",IF(AND(MASTER!$I$1=MASTER!$N$2,MASTER!I25="X"),"",IF(AND(MASTER!$H$1=MASTER!$N$2,MASTER!H25="X"),"",IF(AND(MASTER!$G$1=MASTER!$N$2,MASTER!G25="X"),"",IF(AND(MASTER!$F$1=MASTER!$N$2,MASTER!F25="X"),"",IF(AND(MASTER!$E$1=MASTER!$N$2,MASTER!E25="X"),"",IF(AND($Q$2&lt;&gt;D25,$Q$2&lt;&gt;E25,$Q$2&lt;&gt;F25,I25="6 to 2",J25=FALSE,K25=FALSE),B25,"")))))))), "")</f>
        <v/>
      </c>
      <c r="M25" s="34" t="str">
        <f ca="1">IFERROR(IF(AND(MASTER!$K$1=MASTER!$N$2,MASTER!K25="X"),"",IF(AND(MASTER!$J$1=MASTER!$N$2,MASTER!J25="X"),"",IF(AND(MASTER!$I$1=MASTER!$N$2,MASTER!I25="X"),"",IF(AND(MASTER!$H$1=MASTER!$N$2,MASTER!H25="X"),"",IF(AND(MASTER!$G$1=MASTER!$N$2,MASTER!G25="X"),"",IF(AND(MASTER!$F$1=MASTER!$N$2,MASTER!F25="X"),"",IF(AND(MASTER!$E$1=MASTER!$N$2,MASTER!E25="X"),"",IF(AND($Q$2&lt;&gt;D25,$Q$2&lt;&gt;E25,$Q$2&lt;&gt;F25,I25="2 to 10",J25=FALSE,K25=FALSE),B25,"")))))))), "")</f>
        <v/>
      </c>
      <c r="N25" s="44" t="str">
        <f ca="1">IFERROR(IF(AND(MASTER!$K$1=MASTER!$N$2,MASTER!K25="X"),"",IF(AND(MASTER!$J$1=MASTER!$N$2,MASTER!J25="X"),"",IF(AND(MASTER!$I$1=MASTER!$N$2,MASTER!I25="X"),"",IF(AND(MASTER!$H$1=MASTER!$N$2,MASTER!H25="X"),"",IF(AND(MASTER!$G$1=MASTER!$N$2,MASTER!G25="X"),"",IF(AND(MASTER!$F$1=MASTER!$N$2,MASTER!F25="X"),"",IF(AND(MASTER!$E$1=MASTER!$N$2,MASTER!E25="X"),"",IF(AND($Q$2&lt;&gt;D25,$Q$2&lt;&gt;E25,$Q$2&lt;&gt;F25,I25="10 to 6",J25=FALSE,K25=FALSE),B25,"")))))))), "")</f>
        <v>Avery Jackson</v>
      </c>
      <c r="S25" s="20" t="s">
        <v>17</v>
      </c>
      <c r="T25" s="22" t="s">
        <v>18</v>
      </c>
    </row>
    <row r="26" spans="1:21" ht="16" thickBot="1" x14ac:dyDescent="0.25">
      <c r="A26">
        <v>25</v>
      </c>
      <c r="B26" s="51" t="s">
        <v>59</v>
      </c>
      <c r="C26" s="27">
        <f ca="1">IFERROR(IF(H26="NEW HIRE",100,IF($P$2-H26&lt;=100,$P$2-H26,IF($P$2-H26&gt;=365,0,))), 0)</f>
        <v>0</v>
      </c>
      <c r="D26" t="s">
        <v>4</v>
      </c>
      <c r="E26" t="s">
        <v>5</v>
      </c>
      <c r="F26" t="s">
        <v>6</v>
      </c>
      <c r="G26" s="38">
        <f ca="1">IF(AND(MASTER!K26&lt;&gt;"X",MASTER!K26&lt;&gt;"",MASTER!$K$2&lt;&gt;BUCKET!H26, MASTER!$K$2&lt;=MASTER!$M$2),MASTER!$K$2,IF(AND(MASTER!J26&lt;&gt;"X",MASTER!J26&lt;&gt;"",MASTER!$J$2&lt;&gt;BUCKET!H26, MASTER!$J$2&lt;=MASTER!$M$2),MASTER!$J$2,IF(AND(MASTER!I26&lt;&gt;"X",MASTER!I26&lt;&gt;"",MASTER!$I$2&lt;&gt;BUCKET!H26, MASTER!$I$2&lt;=MASTER!$M$2),MASTER!$I$2, IF(AND(MASTER!H26&lt;&gt;"X", MASTER!H26&lt;&gt;"", MASTER!$H$2&lt;&gt;BUCKET!H26, MASTER!$H$2&lt;=MASTER!$M$2), MASTER!$H$2, IF(AND(MASTER!G26&lt;&gt;"X", MASTER!G26&lt;&gt;"", MASTER!$G$2&lt;&gt;BUCKET!H26, MASTER!$G$2&lt;=MASTER!$M$2), MASTER!$H$2, IF(AND(MASTER!G26&lt;&gt;"X", MASTER!G26&lt;&gt;"", MASTER!$G$2&lt;&gt;BUCKET!H26, MASTER!$F$2&lt;=MASTER!$M$2), MASTER!$G$2, IF(AND(MASTER!F26&lt;&gt;"X", MASTER!F26&lt;&gt;"", MASTER!$F$2&lt;&gt;BUCKET!H26, MASTER!$F$2&lt;=MASTER!$M$2), MASTER!$F$2, IF(AND(MASTER!E26&lt;&gt;"X", MASTER!E26&lt;&gt;"", MASTER!$E$2&lt;&gt;BUCKET!H26, MASTER!$E$2&lt;=MASTER!$M$2), MASTER!$E$2, IF(AND( MASTER!D26&lt;&gt;"", MASTER!D26&lt;&gt;BUCKET!H26), MASTER!D26, IF(AND(MASTER!C26&lt;&gt;"X", MASTER!C26&lt;&gt;""), MASTER!C26))))))))))</f>
        <v>44199</v>
      </c>
      <c r="H26" s="35">
        <f ca="1">IF(AND(MASTER!K27&lt;&gt;"X", MASTER!K27&lt;&gt;"", MASTER!$K$2&lt;=MASTER!$M$2), MASTER!$K$2, IF(AND(MASTER!J27&lt;&gt;"X", MASTER!J27&lt;&gt;"", MASTER!$J$2&lt;=MASTER!$M$2),MASTER!$J$2, IF(AND(MASTER!I27&lt;&gt;"X", MASTER!I27&lt;&gt;"", MASTER!$I$2&lt;=MASTER!$M$2),MASTER!$I$2, IF(AND(MASTER!H27&lt;&gt;"X", MASTER!H27&lt;&gt;"", MASTER!$H$2&lt;=MASTER!$M$2),MASTER!$H$2, IF(AND(MASTER!G27&lt;&gt;"X", MASTER!G27&lt;&gt;"", MASTER!$F$2&lt;=MASTER!$M$2),MASTER!$G$2, IF(AND(MASTER!F27&lt;&gt;"X", MASTER!F27&lt;&gt;"", MASTER!$F$2&lt;=MASTER!$M$2), MASTER!$F$2, IF(AND(MASTER!E27&lt;&gt;"X", MASTER!E27&lt;&gt;"", MASTER!$E$2&lt;=MASTER!$M$2),MASTER!$E$2, IF(MASTER!D27&lt;&gt;"", MASTER!D27,""))))))))</f>
        <v>44200</v>
      </c>
      <c r="I26" s="8" t="s">
        <v>13</v>
      </c>
      <c r="J26" s="27" t="b">
        <f ca="1">IFERROR(IF(H26="NEW HIRE",FALSE,IF(AND((H26-G26)&lt;=1),($P$2-H26)&lt;=1)), "")</f>
        <v>0</v>
      </c>
      <c r="K26" s="54" t="b">
        <v>0</v>
      </c>
      <c r="L26" s="30" t="str">
        <f ca="1">IFERROR(IF(AND(MASTER!$K$1=MASTER!$N$2,MASTER!K26="X"),"",IF(AND(MASTER!$J$1=MASTER!$N$2,MASTER!J26="X"),"",IF(AND(MASTER!$I$1=MASTER!$N$2,MASTER!I26="X"),"",IF(AND(MASTER!$H$1=MASTER!$N$2,MASTER!H26="X"),"",IF(AND(MASTER!$G$1=MASTER!$N$2,MASTER!G26="X"),"",IF(AND(MASTER!$F$1=MASTER!$N$2,MASTER!F26="X"),"",IF(AND(MASTER!$E$1=MASTER!$N$2,MASTER!E26="X"),"",IF(AND($Q$2&lt;&gt;D26,$Q$2&lt;&gt;E26,$Q$2&lt;&gt;F26,I26="6 to 2",J26=FALSE,K26=FALSE),B26,"")))))))), "")</f>
        <v/>
      </c>
      <c r="M26" s="34" t="str">
        <f ca="1">IFERROR(IF(AND(MASTER!$K$1=MASTER!$N$2,MASTER!K26="X"),"",IF(AND(MASTER!$J$1=MASTER!$N$2,MASTER!J26="X"),"",IF(AND(MASTER!$I$1=MASTER!$N$2,MASTER!I26="X"),"",IF(AND(MASTER!$H$1=MASTER!$N$2,MASTER!H26="X"),"",IF(AND(MASTER!$G$1=MASTER!$N$2,MASTER!G26="X"),"",IF(AND(MASTER!$F$1=MASTER!$N$2,MASTER!F26="X"),"",IF(AND(MASTER!$E$1=MASTER!$N$2,MASTER!E26="X"),"",IF(AND($Q$2&lt;&gt;D26,$Q$2&lt;&gt;E26,$Q$2&lt;&gt;F26,I26="2 to 10",J26=FALSE,K26=FALSE),B26,"")))))))), "")</f>
        <v/>
      </c>
      <c r="N26" s="44" t="str">
        <f ca="1">IFERROR(IF(AND(MASTER!$K$1=MASTER!$N$2,MASTER!K26="X"),"",IF(AND(MASTER!$J$1=MASTER!$N$2,MASTER!J26="X"),"",IF(AND(MASTER!$I$1=MASTER!$N$2,MASTER!I26="X"),"",IF(AND(MASTER!$H$1=MASTER!$N$2,MASTER!H26="X"),"",IF(AND(MASTER!$G$1=MASTER!$N$2,MASTER!G26="X"),"",IF(AND(MASTER!$F$1=MASTER!$N$2,MASTER!F26="X"),"",IF(AND(MASTER!$E$1=MASTER!$N$2,MASTER!E26="X"),"",IF(AND($Q$2&lt;&gt;D26,$Q$2&lt;&gt;E26,$Q$2&lt;&gt;F26,I26="10 to 6",J26=FALSE,K26=FALSE),B26,"")))))))), "")</f>
        <v/>
      </c>
      <c r="S26" s="16">
        <v>1</v>
      </c>
      <c r="T26" s="17" t="str">
        <f t="array" aca="1" ref="T26" ca="1">INDIRECT("N"&amp;SMALL(IF(LEN($N$1:$N201)=0, "", ROW($1:$200)), ROW(P2)))</f>
        <v>Skyler Thompson</v>
      </c>
    </row>
    <row r="27" spans="1:21" ht="16" thickBot="1" x14ac:dyDescent="0.25">
      <c r="A27">
        <v>26</v>
      </c>
      <c r="B27" s="51" t="s">
        <v>60</v>
      </c>
      <c r="C27" s="27">
        <f ca="1">IFERROR(IF(H27="NEW HIRE",100,IF($P$2-H27&lt;=100,$P$2-H27,IF($P$2-H27&gt;=365,0,))), 0)</f>
        <v>0</v>
      </c>
      <c r="D27" t="s">
        <v>6</v>
      </c>
      <c r="E27" t="s">
        <v>2</v>
      </c>
      <c r="F27" t="s">
        <v>7</v>
      </c>
      <c r="G27" s="38">
        <f ca="1">IF(AND(MASTER!K27&lt;&gt;"X",MASTER!K27&lt;&gt;"",MASTER!$K$2&lt;&gt;BUCKET!H27, MASTER!$K$2&lt;=MASTER!$M$2),MASTER!$K$2,IF(AND(MASTER!J27&lt;&gt;"X",MASTER!J27&lt;&gt;"",MASTER!$J$2&lt;&gt;BUCKET!H27, MASTER!$J$2&lt;=MASTER!$M$2),MASTER!$J$2,IF(AND(MASTER!I27&lt;&gt;"X",MASTER!I27&lt;&gt;"",MASTER!$I$2&lt;&gt;BUCKET!H27, MASTER!$I$2&lt;=MASTER!$M$2),MASTER!$I$2, IF(AND(MASTER!H27&lt;&gt;"X", MASTER!H27&lt;&gt;"", MASTER!$H$2&lt;&gt;BUCKET!H27, MASTER!$H$2&lt;=MASTER!$M$2), MASTER!$H$2, IF(AND(MASTER!G27&lt;&gt;"X", MASTER!G27&lt;&gt;"", MASTER!$G$2&lt;&gt;BUCKET!H27, MASTER!$G$2&lt;=MASTER!$M$2), MASTER!$H$2, IF(AND(MASTER!G27&lt;&gt;"X", MASTER!G27&lt;&gt;"", MASTER!$G$2&lt;&gt;BUCKET!H27, MASTER!$F$2&lt;=MASTER!$M$2), MASTER!$G$2, IF(AND(MASTER!F27&lt;&gt;"X", MASTER!F27&lt;&gt;"", MASTER!$F$2&lt;&gt;BUCKET!H27, MASTER!$F$2&lt;=MASTER!$M$2), MASTER!$F$2, IF(AND(MASTER!E27&lt;&gt;"X", MASTER!E27&lt;&gt;"", MASTER!$E$2&lt;&gt;BUCKET!H27, MASTER!$E$2&lt;=MASTER!$M$2), MASTER!$E$2, IF(AND( MASTER!D27&lt;&gt;"", MASTER!D27&lt;&gt;BUCKET!H27), MASTER!D27, IF(AND(MASTER!C27&lt;&gt;"X", MASTER!C27&lt;&gt;""), MASTER!C27))))))))))</f>
        <v>44200</v>
      </c>
      <c r="H27" s="35">
        <f ca="1">IF(AND(MASTER!K28&lt;&gt;"X", MASTER!K28&lt;&gt;"", MASTER!$K$2&lt;=MASTER!$M$2), MASTER!$K$2, IF(AND(MASTER!J28&lt;&gt;"X", MASTER!J28&lt;&gt;"", MASTER!$J$2&lt;=MASTER!$M$2),MASTER!$J$2, IF(AND(MASTER!I28&lt;&gt;"X", MASTER!I28&lt;&gt;"", MASTER!$I$2&lt;=MASTER!$M$2),MASTER!$I$2, IF(AND(MASTER!H28&lt;&gt;"X", MASTER!H28&lt;&gt;"", MASTER!$H$2&lt;=MASTER!$M$2),MASTER!$H$2, IF(AND(MASTER!G28&lt;&gt;"X", MASTER!G28&lt;&gt;"", MASTER!$F$2&lt;=MASTER!$M$2),MASTER!$G$2, IF(AND(MASTER!F28&lt;&gt;"X", MASTER!F28&lt;&gt;"", MASTER!$F$2&lt;=MASTER!$M$2), MASTER!$F$2, IF(AND(MASTER!E28&lt;&gt;"X", MASTER!E28&lt;&gt;"", MASTER!$E$2&lt;=MASTER!$M$2),MASTER!$E$2, IF(MASTER!D28&lt;&gt;"", MASTER!D28,""))))))))</f>
        <v>44201</v>
      </c>
      <c r="I27" s="8" t="s">
        <v>16</v>
      </c>
      <c r="J27" s="27" t="b">
        <f ca="1">IFERROR(IF(H27="NEW HIRE",FALSE,IF(AND((H27-G27)&lt;=1),($P$2-H27)&lt;=1)), "")</f>
        <v>0</v>
      </c>
      <c r="K27" s="54" t="b">
        <v>0</v>
      </c>
      <c r="L27" s="30" t="str">
        <f ca="1">IFERROR(IF(AND(MASTER!$K$1=MASTER!$N$2,MASTER!K27="X"),"",IF(AND(MASTER!$J$1=MASTER!$N$2,MASTER!J27="X"),"",IF(AND(MASTER!$I$1=MASTER!$N$2,MASTER!I27="X"),"",IF(AND(MASTER!$H$1=MASTER!$N$2,MASTER!H27="X"),"",IF(AND(MASTER!$G$1=MASTER!$N$2,MASTER!G27="X"),"",IF(AND(MASTER!$F$1=MASTER!$N$2,MASTER!F27="X"),"",IF(AND(MASTER!$E$1=MASTER!$N$2,MASTER!E27="X"),"",IF(AND($Q$2&lt;&gt;D27,$Q$2&lt;&gt;E27,$Q$2&lt;&gt;F27,I27="6 to 2",J27=FALSE,K27=FALSE),B27,"")))))))), "")</f>
        <v/>
      </c>
      <c r="M27" s="34" t="str">
        <f ca="1">IFERROR(IF(AND(MASTER!$K$1=MASTER!$N$2,MASTER!K27="X"),"",IF(AND(MASTER!$J$1=MASTER!$N$2,MASTER!J27="X"),"",IF(AND(MASTER!$I$1=MASTER!$N$2,MASTER!I27="X"),"",IF(AND(MASTER!$H$1=MASTER!$N$2,MASTER!H27="X"),"",IF(AND(MASTER!$G$1=MASTER!$N$2,MASTER!G27="X"),"",IF(AND(MASTER!$F$1=MASTER!$N$2,MASTER!F27="X"),"",IF(AND(MASTER!$E$1=MASTER!$N$2,MASTER!E27="X"),"",IF(AND($Q$2&lt;&gt;D27,$Q$2&lt;&gt;E27,$Q$2&lt;&gt;F27,I27="2 to 10",J27=FALSE,K27=FALSE),B27,"")))))))), "")</f>
        <v/>
      </c>
      <c r="N27" s="44" t="str">
        <f ca="1">IFERROR(IF(AND(MASTER!$K$1=MASTER!$N$2,MASTER!K27="X"),"",IF(AND(MASTER!$J$1=MASTER!$N$2,MASTER!J27="X"),"",IF(AND(MASTER!$I$1=MASTER!$N$2,MASTER!I27="X"),"",IF(AND(MASTER!$H$1=MASTER!$N$2,MASTER!H27="X"),"",IF(AND(MASTER!$G$1=MASTER!$N$2,MASTER!G27="X"),"",IF(AND(MASTER!$F$1=MASTER!$N$2,MASTER!F27="X"),"",IF(AND(MASTER!$E$1=MASTER!$N$2,MASTER!E27="X"),"",IF(AND($Q$2&lt;&gt;D27,$Q$2&lt;&gt;E27,$Q$2&lt;&gt;F27,I27="10 to 6",J27=FALSE,K27=FALSE),B27,"")))))))), "")</f>
        <v/>
      </c>
      <c r="S27" s="16">
        <v>2</v>
      </c>
      <c r="T27" s="17" t="str">
        <f t="array" aca="1" ref="T27" ca="1">INDIRECT("N"&amp;SMALL(IF(LEN($N$1:$N202)=0, "", ROW($1:$200)), ROW(P3)))</f>
        <v>Sam Smith</v>
      </c>
    </row>
    <row r="28" spans="1:21" ht="16" thickBot="1" x14ac:dyDescent="0.25">
      <c r="A28">
        <v>27</v>
      </c>
      <c r="B28" s="51" t="s">
        <v>61</v>
      </c>
      <c r="C28" s="27">
        <f ca="1">IFERROR(IF(H28="NEW HIRE",100,IF($P$2-H28&lt;=100,$P$2-H28,IF($P$2-H28&gt;=365,0,))), 0)</f>
        <v>0</v>
      </c>
      <c r="D28" t="s">
        <v>4</v>
      </c>
      <c r="E28" t="s">
        <v>5</v>
      </c>
      <c r="F28" t="s">
        <v>6</v>
      </c>
      <c r="G28" s="38">
        <f ca="1">IF(AND(MASTER!K28&lt;&gt;"X",MASTER!K28&lt;&gt;"",MASTER!$K$2&lt;&gt;BUCKET!H28, MASTER!$K$2&lt;=MASTER!$M$2),MASTER!$K$2,IF(AND(MASTER!J28&lt;&gt;"X",MASTER!J28&lt;&gt;"",MASTER!$J$2&lt;&gt;BUCKET!H28, MASTER!$J$2&lt;=MASTER!$M$2),MASTER!$J$2,IF(AND(MASTER!I28&lt;&gt;"X",MASTER!I28&lt;&gt;"",MASTER!$I$2&lt;&gt;BUCKET!H28, MASTER!$I$2&lt;=MASTER!$M$2),MASTER!$I$2, IF(AND(MASTER!H28&lt;&gt;"X", MASTER!H28&lt;&gt;"", MASTER!$H$2&lt;&gt;BUCKET!H28, MASTER!$H$2&lt;=MASTER!$M$2), MASTER!$H$2, IF(AND(MASTER!G28&lt;&gt;"X", MASTER!G28&lt;&gt;"", MASTER!$G$2&lt;&gt;BUCKET!H28, MASTER!$G$2&lt;=MASTER!$M$2), MASTER!$H$2, IF(AND(MASTER!G28&lt;&gt;"X", MASTER!G28&lt;&gt;"", MASTER!$G$2&lt;&gt;BUCKET!H28, MASTER!$F$2&lt;=MASTER!$M$2), MASTER!$G$2, IF(AND(MASTER!F28&lt;&gt;"X", MASTER!F28&lt;&gt;"", MASTER!$F$2&lt;&gt;BUCKET!H28, MASTER!$F$2&lt;=MASTER!$M$2), MASTER!$F$2, IF(AND(MASTER!E28&lt;&gt;"X", MASTER!E28&lt;&gt;"", MASTER!$E$2&lt;&gt;BUCKET!H28, MASTER!$E$2&lt;=MASTER!$M$2), MASTER!$E$2, IF(AND( MASTER!D28&lt;&gt;"", MASTER!D28&lt;&gt;BUCKET!H28), MASTER!D28, IF(AND(MASTER!C28&lt;&gt;"X", MASTER!C28&lt;&gt;""), MASTER!C28))))))))))</f>
        <v>44201</v>
      </c>
      <c r="H28" s="35">
        <f ca="1">IF(AND(MASTER!K29&lt;&gt;"X", MASTER!K29&lt;&gt;"", MASTER!$K$2&lt;=MASTER!$M$2), MASTER!$K$2, IF(AND(MASTER!J29&lt;&gt;"X", MASTER!J29&lt;&gt;"", MASTER!$J$2&lt;=MASTER!$M$2),MASTER!$J$2, IF(AND(MASTER!I29&lt;&gt;"X", MASTER!I29&lt;&gt;"", MASTER!$I$2&lt;=MASTER!$M$2),MASTER!$I$2, IF(AND(MASTER!H29&lt;&gt;"X", MASTER!H29&lt;&gt;"", MASTER!$H$2&lt;=MASTER!$M$2),MASTER!$H$2, IF(AND(MASTER!G29&lt;&gt;"X", MASTER!G29&lt;&gt;"", MASTER!$F$2&lt;=MASTER!$M$2),MASTER!$G$2, IF(AND(MASTER!F29&lt;&gt;"X", MASTER!F29&lt;&gt;"", MASTER!$F$2&lt;=MASTER!$M$2), MASTER!$F$2, IF(AND(MASTER!E29&lt;&gt;"X", MASTER!E29&lt;&gt;"", MASTER!$E$2&lt;=MASTER!$M$2),MASTER!$E$2, IF(MASTER!D29&lt;&gt;"", MASTER!D29,""))))))))</f>
        <v>44202</v>
      </c>
      <c r="I28" s="8" t="s">
        <v>12</v>
      </c>
      <c r="J28" s="27" t="b">
        <f ca="1">IFERROR(IF(H28="NEW HIRE",FALSE,IF(AND((H28-G28)&lt;=1),($P$2-H28)&lt;=1)), "")</f>
        <v>0</v>
      </c>
      <c r="K28" s="54" t="b">
        <v>0</v>
      </c>
      <c r="L28" s="30" t="str">
        <f ca="1">IFERROR(IF(AND(MASTER!$K$1=MASTER!$N$2,MASTER!K28="X"),"",IF(AND(MASTER!$J$1=MASTER!$N$2,MASTER!J28="X"),"",IF(AND(MASTER!$I$1=MASTER!$N$2,MASTER!I28="X"),"",IF(AND(MASTER!$H$1=MASTER!$N$2,MASTER!H28="X"),"",IF(AND(MASTER!$G$1=MASTER!$N$2,MASTER!G28="X"),"",IF(AND(MASTER!$F$1=MASTER!$N$2,MASTER!F28="X"),"",IF(AND(MASTER!$E$1=MASTER!$N$2,MASTER!E28="X"),"",IF(AND($Q$2&lt;&gt;D28,$Q$2&lt;&gt;E28,$Q$2&lt;&gt;F28,I28="6 to 2",J28=FALSE,K28=FALSE),B28,"")))))))), "")</f>
        <v/>
      </c>
      <c r="M28" s="34" t="str">
        <f ca="1">IFERROR(IF(AND(MASTER!$K$1=MASTER!$N$2,MASTER!K28="X"),"",IF(AND(MASTER!$J$1=MASTER!$N$2,MASTER!J28="X"),"",IF(AND(MASTER!$I$1=MASTER!$N$2,MASTER!I28="X"),"",IF(AND(MASTER!$H$1=MASTER!$N$2,MASTER!H28="X"),"",IF(AND(MASTER!$G$1=MASTER!$N$2,MASTER!G28="X"),"",IF(AND(MASTER!$F$1=MASTER!$N$2,MASTER!F28="X"),"",IF(AND(MASTER!$E$1=MASTER!$N$2,MASTER!E28="X"),"",IF(AND($Q$2&lt;&gt;D28,$Q$2&lt;&gt;E28,$Q$2&lt;&gt;F28,I28="2 to 10",J28=FALSE,K28=FALSE),B28,"")))))))), "")</f>
        <v/>
      </c>
      <c r="N28" s="44" t="str">
        <f ca="1">IFERROR(IF(AND(MASTER!$K$1=MASTER!$N$2,MASTER!K28="X"),"",IF(AND(MASTER!$J$1=MASTER!$N$2,MASTER!J28="X"),"",IF(AND(MASTER!$I$1=MASTER!$N$2,MASTER!I28="X"),"",IF(AND(MASTER!$H$1=MASTER!$N$2,MASTER!H28="X"),"",IF(AND(MASTER!$G$1=MASTER!$N$2,MASTER!G28="X"),"",IF(AND(MASTER!$F$1=MASTER!$N$2,MASTER!F28="X"),"",IF(AND(MASTER!$E$1=MASTER!$N$2,MASTER!E28="X"),"",IF(AND($Q$2&lt;&gt;D28,$Q$2&lt;&gt;E28,$Q$2&lt;&gt;F28,I28="10 to 6",J28=FALSE,K28=FALSE),B28,"")))))))), "")</f>
        <v/>
      </c>
      <c r="S28" s="16">
        <v>3</v>
      </c>
      <c r="T28" s="17" t="str">
        <f t="array" aca="1" ref="T28" ca="1">INDIRECT("N"&amp;SMALL(IF(LEN($N$1:$N203)=0, "", ROW($1:$200)), ROW(P4)))</f>
        <v>Drew Williams</v>
      </c>
    </row>
    <row r="29" spans="1:21" ht="16" thickBot="1" x14ac:dyDescent="0.25">
      <c r="A29">
        <v>28</v>
      </c>
      <c r="B29" s="51" t="s">
        <v>62</v>
      </c>
      <c r="C29" s="27">
        <f ca="1">IFERROR(IF(H29="NEW HIRE",100,IF($P$2-H29&lt;=100,$P$2-H29,IF($P$2-H29&gt;=365,0,))), 0)</f>
        <v>0</v>
      </c>
      <c r="D29" t="s">
        <v>7</v>
      </c>
      <c r="E29" t="s">
        <v>8</v>
      </c>
      <c r="F29" t="s">
        <v>3</v>
      </c>
      <c r="G29" s="38">
        <f ca="1">IF(AND(MASTER!K29&lt;&gt;"X",MASTER!K29&lt;&gt;"",MASTER!$K$2&lt;&gt;BUCKET!H29, MASTER!$K$2&lt;=MASTER!$M$2),MASTER!$K$2,IF(AND(MASTER!J29&lt;&gt;"X",MASTER!J29&lt;&gt;"",MASTER!$J$2&lt;&gt;BUCKET!H29, MASTER!$J$2&lt;=MASTER!$M$2),MASTER!$J$2,IF(AND(MASTER!I29&lt;&gt;"X",MASTER!I29&lt;&gt;"",MASTER!$I$2&lt;&gt;BUCKET!H29, MASTER!$I$2&lt;=MASTER!$M$2),MASTER!$I$2, IF(AND(MASTER!H29&lt;&gt;"X", MASTER!H29&lt;&gt;"", MASTER!$H$2&lt;&gt;BUCKET!H29, MASTER!$H$2&lt;=MASTER!$M$2), MASTER!$H$2, IF(AND(MASTER!G29&lt;&gt;"X", MASTER!G29&lt;&gt;"", MASTER!$G$2&lt;&gt;BUCKET!H29, MASTER!$G$2&lt;=MASTER!$M$2), MASTER!$H$2, IF(AND(MASTER!G29&lt;&gt;"X", MASTER!G29&lt;&gt;"", MASTER!$G$2&lt;&gt;BUCKET!H29, MASTER!$F$2&lt;=MASTER!$M$2), MASTER!$G$2, IF(AND(MASTER!F29&lt;&gt;"X", MASTER!F29&lt;&gt;"", MASTER!$F$2&lt;&gt;BUCKET!H29, MASTER!$F$2&lt;=MASTER!$M$2), MASTER!$F$2, IF(AND(MASTER!E29&lt;&gt;"X", MASTER!E29&lt;&gt;"", MASTER!$E$2&lt;&gt;BUCKET!H29, MASTER!$E$2&lt;=MASTER!$M$2), MASTER!$E$2, IF(AND( MASTER!D29&lt;&gt;"", MASTER!D29&lt;&gt;BUCKET!H29), MASTER!D29, IF(AND(MASTER!C29&lt;&gt;"X", MASTER!C29&lt;&gt;""), MASTER!C29))))))))))</f>
        <v>44202</v>
      </c>
      <c r="H29" s="35">
        <f ca="1">IF(AND(MASTER!K30&lt;&gt;"X", MASTER!K30&lt;&gt;"", MASTER!$K$2&lt;=MASTER!$M$2), MASTER!$K$2, IF(AND(MASTER!J30&lt;&gt;"X", MASTER!J30&lt;&gt;"", MASTER!$J$2&lt;=MASTER!$M$2),MASTER!$J$2, IF(AND(MASTER!I30&lt;&gt;"X", MASTER!I30&lt;&gt;"", MASTER!$I$2&lt;=MASTER!$M$2),MASTER!$I$2, IF(AND(MASTER!H30&lt;&gt;"X", MASTER!H30&lt;&gt;"", MASTER!$H$2&lt;=MASTER!$M$2),MASTER!$H$2, IF(AND(MASTER!G30&lt;&gt;"X", MASTER!G30&lt;&gt;"", MASTER!$F$2&lt;=MASTER!$M$2),MASTER!$G$2, IF(AND(MASTER!F30&lt;&gt;"X", MASTER!F30&lt;&gt;"", MASTER!$F$2&lt;=MASTER!$M$2), MASTER!$F$2, IF(AND(MASTER!E30&lt;&gt;"X", MASTER!E30&lt;&gt;"", MASTER!$E$2&lt;=MASTER!$M$2),MASTER!$E$2, IF(MASTER!D30&lt;&gt;"", MASTER!D30,""))))))))</f>
        <v>44203</v>
      </c>
      <c r="I29" s="8" t="s">
        <v>12</v>
      </c>
      <c r="J29" s="27" t="b">
        <f ca="1">IFERROR(IF(H29="NEW HIRE",FALSE,IF(AND((H29-G29)&lt;=1),($P$2-H29)&lt;=1)), "")</f>
        <v>0</v>
      </c>
      <c r="K29" s="54" t="b">
        <v>0</v>
      </c>
      <c r="L29" s="30" t="str">
        <f ca="1">IFERROR(IF(AND(MASTER!$K$1=MASTER!$N$2,MASTER!K29="X"),"",IF(AND(MASTER!$J$1=MASTER!$N$2,MASTER!J29="X"),"",IF(AND(MASTER!$I$1=MASTER!$N$2,MASTER!I29="X"),"",IF(AND(MASTER!$H$1=MASTER!$N$2,MASTER!H29="X"),"",IF(AND(MASTER!$G$1=MASTER!$N$2,MASTER!G29="X"),"",IF(AND(MASTER!$F$1=MASTER!$N$2,MASTER!F29="X"),"",IF(AND(MASTER!$E$1=MASTER!$N$2,MASTER!E29="X"),"",IF(AND($Q$2&lt;&gt;D29,$Q$2&lt;&gt;E29,$Q$2&lt;&gt;F29,I29="6 to 2",J29=FALSE,K29=FALSE),B29,"")))))))), "")</f>
        <v/>
      </c>
      <c r="M29" s="34" t="str">
        <f ca="1">IFERROR(IF(AND(MASTER!$K$1=MASTER!$N$2,MASTER!K29="X"),"",IF(AND(MASTER!$J$1=MASTER!$N$2,MASTER!J29="X"),"",IF(AND(MASTER!$I$1=MASTER!$N$2,MASTER!I29="X"),"",IF(AND(MASTER!$H$1=MASTER!$N$2,MASTER!H29="X"),"",IF(AND(MASTER!$G$1=MASTER!$N$2,MASTER!G29="X"),"",IF(AND(MASTER!$F$1=MASTER!$N$2,MASTER!F29="X"),"",IF(AND(MASTER!$E$1=MASTER!$N$2,MASTER!E29="X"),"",IF(AND($Q$2&lt;&gt;D29,$Q$2&lt;&gt;E29,$Q$2&lt;&gt;F29,I29="2 to 10",J29=FALSE,K29=FALSE),B29,"")))))))), "")</f>
        <v>Drew Martin</v>
      </c>
      <c r="N29" s="44" t="str">
        <f ca="1">IFERROR(IF(AND(MASTER!$K$1=MASTER!$N$2,MASTER!K29="X"),"",IF(AND(MASTER!$J$1=MASTER!$N$2,MASTER!J29="X"),"",IF(AND(MASTER!$I$1=MASTER!$N$2,MASTER!I29="X"),"",IF(AND(MASTER!$H$1=MASTER!$N$2,MASTER!H29="X"),"",IF(AND(MASTER!$G$1=MASTER!$N$2,MASTER!G29="X"),"",IF(AND(MASTER!$F$1=MASTER!$N$2,MASTER!F29="X"),"",IF(AND(MASTER!$E$1=MASTER!$N$2,MASTER!E29="X"),"",IF(AND($Q$2&lt;&gt;D29,$Q$2&lt;&gt;E29,$Q$2&lt;&gt;F29,I29="10 to 6",J29=FALSE,K29=FALSE),B29,"")))))))), "")</f>
        <v/>
      </c>
      <c r="S29" s="16">
        <v>4</v>
      </c>
      <c r="T29" s="17" t="str">
        <f t="array" aca="1" ref="T29" ca="1">INDIRECT("N"&amp;SMALL(IF(LEN($N$1:$N204)=0, "", ROW($1:$200)), ROW(P5)))</f>
        <v>Avery Jackson</v>
      </c>
    </row>
    <row r="30" spans="1:21" ht="16" thickBot="1" x14ac:dyDescent="0.25">
      <c r="A30">
        <v>29</v>
      </c>
      <c r="B30" s="51" t="s">
        <v>63</v>
      </c>
      <c r="C30" s="27">
        <f ca="1">IFERROR(IF(H30="NEW HIRE",100,IF($P$2-H30&lt;=100,$P$2-H30,IF($P$2-H30&gt;=365,0,))), 0)</f>
        <v>0</v>
      </c>
      <c r="D30" t="s">
        <v>6</v>
      </c>
      <c r="E30" t="s">
        <v>2</v>
      </c>
      <c r="F30" t="s">
        <v>7</v>
      </c>
      <c r="G30" s="38">
        <f ca="1">IF(AND(MASTER!K30&lt;&gt;"X",MASTER!K30&lt;&gt;"",MASTER!$K$2&lt;&gt;BUCKET!H30, MASTER!$K$2&lt;=MASTER!$M$2),MASTER!$K$2,IF(AND(MASTER!J30&lt;&gt;"X",MASTER!J30&lt;&gt;"",MASTER!$J$2&lt;&gt;BUCKET!H30, MASTER!$J$2&lt;=MASTER!$M$2),MASTER!$J$2,IF(AND(MASTER!I30&lt;&gt;"X",MASTER!I30&lt;&gt;"",MASTER!$I$2&lt;&gt;BUCKET!H30, MASTER!$I$2&lt;=MASTER!$M$2),MASTER!$I$2, IF(AND(MASTER!H30&lt;&gt;"X", MASTER!H30&lt;&gt;"", MASTER!$H$2&lt;&gt;BUCKET!H30, MASTER!$H$2&lt;=MASTER!$M$2), MASTER!$H$2, IF(AND(MASTER!G30&lt;&gt;"X", MASTER!G30&lt;&gt;"", MASTER!$G$2&lt;&gt;BUCKET!H30, MASTER!$G$2&lt;=MASTER!$M$2), MASTER!$H$2, IF(AND(MASTER!G30&lt;&gt;"X", MASTER!G30&lt;&gt;"", MASTER!$G$2&lt;&gt;BUCKET!H30, MASTER!$F$2&lt;=MASTER!$M$2), MASTER!$G$2, IF(AND(MASTER!F30&lt;&gt;"X", MASTER!F30&lt;&gt;"", MASTER!$F$2&lt;&gt;BUCKET!H30, MASTER!$F$2&lt;=MASTER!$M$2), MASTER!$F$2, IF(AND(MASTER!E30&lt;&gt;"X", MASTER!E30&lt;&gt;"", MASTER!$E$2&lt;&gt;BUCKET!H30, MASTER!$E$2&lt;=MASTER!$M$2), MASTER!$E$2, IF(AND( MASTER!D30&lt;&gt;"", MASTER!D30&lt;&gt;BUCKET!H30), MASTER!D30, IF(AND(MASTER!C30&lt;&gt;"X", MASTER!C30&lt;&gt;""), MASTER!C30))))))))))</f>
        <v>44203</v>
      </c>
      <c r="H30" s="35">
        <f ca="1">IF(AND(MASTER!K31&lt;&gt;"X", MASTER!K31&lt;&gt;"", MASTER!$K$2&lt;=MASTER!$M$2), MASTER!$K$2, IF(AND(MASTER!J31&lt;&gt;"X", MASTER!J31&lt;&gt;"", MASTER!$J$2&lt;=MASTER!$M$2),MASTER!$J$2, IF(AND(MASTER!I31&lt;&gt;"X", MASTER!I31&lt;&gt;"", MASTER!$I$2&lt;=MASTER!$M$2),MASTER!$I$2, IF(AND(MASTER!H31&lt;&gt;"X", MASTER!H31&lt;&gt;"", MASTER!$H$2&lt;=MASTER!$M$2),MASTER!$H$2, IF(AND(MASTER!G31&lt;&gt;"X", MASTER!G31&lt;&gt;"", MASTER!$F$2&lt;=MASTER!$M$2),MASTER!$G$2, IF(AND(MASTER!F31&lt;&gt;"X", MASTER!F31&lt;&gt;"", MASTER!$F$2&lt;=MASTER!$M$2), MASTER!$F$2, IF(AND(MASTER!E31&lt;&gt;"X", MASTER!E31&lt;&gt;"", MASTER!$E$2&lt;=MASTER!$M$2),MASTER!$E$2, IF(MASTER!D31&lt;&gt;"", MASTER!D31,""))))))))</f>
        <v>44204</v>
      </c>
      <c r="I30" s="8" t="s">
        <v>13</v>
      </c>
      <c r="J30" s="27" t="b">
        <f ca="1">IFERROR(IF(H30="NEW HIRE",FALSE,IF(AND((H30-G30)&lt;=1),($P$2-H30)&lt;=1)), "")</f>
        <v>0</v>
      </c>
      <c r="K30" s="54" t="b">
        <v>0</v>
      </c>
      <c r="L30" s="30" t="str">
        <f ca="1">IFERROR(IF(AND(MASTER!$K$1=MASTER!$N$2,MASTER!K30="X"),"",IF(AND(MASTER!$J$1=MASTER!$N$2,MASTER!J30="X"),"",IF(AND(MASTER!$I$1=MASTER!$N$2,MASTER!I30="X"),"",IF(AND(MASTER!$H$1=MASTER!$N$2,MASTER!H30="X"),"",IF(AND(MASTER!$G$1=MASTER!$N$2,MASTER!G30="X"),"",IF(AND(MASTER!$F$1=MASTER!$N$2,MASTER!F30="X"),"",IF(AND(MASTER!$E$1=MASTER!$N$2,MASTER!E30="X"),"",IF(AND($Q$2&lt;&gt;D30,$Q$2&lt;&gt;E30,$Q$2&lt;&gt;F30,I30="6 to 2",J30=FALSE,K30=FALSE),B30,"")))))))), "")</f>
        <v/>
      </c>
      <c r="M30" s="34" t="str">
        <f ca="1">IFERROR(IF(AND(MASTER!$K$1=MASTER!$N$2,MASTER!K30="X"),"",IF(AND(MASTER!$J$1=MASTER!$N$2,MASTER!J30="X"),"",IF(AND(MASTER!$I$1=MASTER!$N$2,MASTER!I30="X"),"",IF(AND(MASTER!$H$1=MASTER!$N$2,MASTER!H30="X"),"",IF(AND(MASTER!$G$1=MASTER!$N$2,MASTER!G30="X"),"",IF(AND(MASTER!$F$1=MASTER!$N$2,MASTER!F30="X"),"",IF(AND(MASTER!$E$1=MASTER!$N$2,MASTER!E30="X"),"",IF(AND($Q$2&lt;&gt;D30,$Q$2&lt;&gt;E30,$Q$2&lt;&gt;F30,I30="2 to 10",J30=FALSE,K30=FALSE),B30,"")))))))), "")</f>
        <v/>
      </c>
      <c r="N30" s="44" t="str">
        <f ca="1">IFERROR(IF(AND(MASTER!$K$1=MASTER!$N$2,MASTER!K30="X"),"",IF(AND(MASTER!$J$1=MASTER!$N$2,MASTER!J30="X"),"",IF(AND(MASTER!$I$1=MASTER!$N$2,MASTER!I30="X"),"",IF(AND(MASTER!$H$1=MASTER!$N$2,MASTER!H30="X"),"",IF(AND(MASTER!$G$1=MASTER!$N$2,MASTER!G30="X"),"",IF(AND(MASTER!$F$1=MASTER!$N$2,MASTER!F30="X"),"",IF(AND(MASTER!$E$1=MASTER!$N$2,MASTER!E30="X"),"",IF(AND($Q$2&lt;&gt;D30,$Q$2&lt;&gt;E30,$Q$2&lt;&gt;F30,I30="10 to 6",J30=FALSE,K30=FALSE),B30,"")))))))), "")</f>
        <v/>
      </c>
      <c r="S30" s="16">
        <v>5</v>
      </c>
      <c r="T30" s="17" t="str">
        <f t="array" aca="1" ref="T30" ca="1">INDIRECT("N"&amp;SMALL(IF(LEN($N$1:$N205)=0, "", ROW($1:$200)), ROW(P6)))</f>
        <v>Alex Thomas</v>
      </c>
    </row>
    <row r="31" spans="1:21" ht="16" thickBot="1" x14ac:dyDescent="0.25">
      <c r="A31">
        <v>30</v>
      </c>
      <c r="B31" s="51" t="s">
        <v>64</v>
      </c>
      <c r="C31" s="27">
        <f ca="1">IFERROR(IF(H31="NEW HIRE",100,IF($P$2-H31&lt;=100,$P$2-H31,IF($P$2-H31&gt;=365,0,))), 0)</f>
        <v>0</v>
      </c>
      <c r="D31" t="s">
        <v>6</v>
      </c>
      <c r="E31" t="s">
        <v>2</v>
      </c>
      <c r="F31" t="s">
        <v>7</v>
      </c>
      <c r="G31" s="38">
        <f ca="1">IF(AND(MASTER!K31&lt;&gt;"X",MASTER!K31&lt;&gt;"",MASTER!$K$2&lt;&gt;BUCKET!H31, MASTER!$K$2&lt;=MASTER!$M$2),MASTER!$K$2,IF(AND(MASTER!J31&lt;&gt;"X",MASTER!J31&lt;&gt;"",MASTER!$J$2&lt;&gt;BUCKET!H31, MASTER!$J$2&lt;=MASTER!$M$2),MASTER!$J$2,IF(AND(MASTER!I31&lt;&gt;"X",MASTER!I31&lt;&gt;"",MASTER!$I$2&lt;&gt;BUCKET!H31, MASTER!$I$2&lt;=MASTER!$M$2),MASTER!$I$2, IF(AND(MASTER!H31&lt;&gt;"X", MASTER!H31&lt;&gt;"", MASTER!$H$2&lt;&gt;BUCKET!H31, MASTER!$H$2&lt;=MASTER!$M$2), MASTER!$H$2, IF(AND(MASTER!G31&lt;&gt;"X", MASTER!G31&lt;&gt;"", MASTER!$G$2&lt;&gt;BUCKET!H31, MASTER!$G$2&lt;=MASTER!$M$2), MASTER!$H$2, IF(AND(MASTER!G31&lt;&gt;"X", MASTER!G31&lt;&gt;"", MASTER!$G$2&lt;&gt;BUCKET!H31, MASTER!$F$2&lt;=MASTER!$M$2), MASTER!$G$2, IF(AND(MASTER!F31&lt;&gt;"X", MASTER!F31&lt;&gt;"", MASTER!$F$2&lt;&gt;BUCKET!H31, MASTER!$F$2&lt;=MASTER!$M$2), MASTER!$F$2, IF(AND(MASTER!E31&lt;&gt;"X", MASTER!E31&lt;&gt;"", MASTER!$E$2&lt;&gt;BUCKET!H31, MASTER!$E$2&lt;=MASTER!$M$2), MASTER!$E$2, IF(AND( MASTER!D31&lt;&gt;"", MASTER!D31&lt;&gt;BUCKET!H31), MASTER!D31, IF(AND(MASTER!C31&lt;&gt;"X", MASTER!C31&lt;&gt;""), MASTER!C31))))))))))</f>
        <v>44204</v>
      </c>
      <c r="H31" s="35">
        <f ca="1">IF(AND(MASTER!K32&lt;&gt;"X", MASTER!K32&lt;&gt;"", MASTER!$K$2&lt;=MASTER!$M$2), MASTER!$K$2, IF(AND(MASTER!J32&lt;&gt;"X", MASTER!J32&lt;&gt;"", MASTER!$J$2&lt;=MASTER!$M$2),MASTER!$J$2, IF(AND(MASTER!I32&lt;&gt;"X", MASTER!I32&lt;&gt;"", MASTER!$I$2&lt;=MASTER!$M$2),MASTER!$I$2, IF(AND(MASTER!H32&lt;&gt;"X", MASTER!H32&lt;&gt;"", MASTER!$H$2&lt;=MASTER!$M$2),MASTER!$H$2, IF(AND(MASTER!G32&lt;&gt;"X", MASTER!G32&lt;&gt;"", MASTER!$F$2&lt;=MASTER!$M$2),MASTER!$G$2, IF(AND(MASTER!F32&lt;&gt;"X", MASTER!F32&lt;&gt;"", MASTER!$F$2&lt;=MASTER!$M$2), MASTER!$F$2, IF(AND(MASTER!E32&lt;&gt;"X", MASTER!E32&lt;&gt;"", MASTER!$E$2&lt;=MASTER!$M$2),MASTER!$E$2, IF(MASTER!D32&lt;&gt;"", MASTER!D32,""))))))))</f>
        <v>44205</v>
      </c>
      <c r="I31" s="8" t="s">
        <v>12</v>
      </c>
      <c r="J31" s="27" t="b">
        <f ca="1">IFERROR(IF(H31="NEW HIRE",FALSE,IF(AND((H31-G31)&lt;=1),($P$2-H31)&lt;=1)), "")</f>
        <v>0</v>
      </c>
      <c r="K31" s="54" t="b">
        <v>0</v>
      </c>
      <c r="L31" s="30" t="str">
        <f ca="1">IFERROR(IF(AND(MASTER!$K$1=MASTER!$N$2,MASTER!K31="X"),"",IF(AND(MASTER!$J$1=MASTER!$N$2,MASTER!J31="X"),"",IF(AND(MASTER!$I$1=MASTER!$N$2,MASTER!I31="X"),"",IF(AND(MASTER!$H$1=MASTER!$N$2,MASTER!H31="X"),"",IF(AND(MASTER!$G$1=MASTER!$N$2,MASTER!G31="X"),"",IF(AND(MASTER!$F$1=MASTER!$N$2,MASTER!F31="X"),"",IF(AND(MASTER!$E$1=MASTER!$N$2,MASTER!E31="X"),"",IF(AND($Q$2&lt;&gt;D31,$Q$2&lt;&gt;E31,$Q$2&lt;&gt;F31,I31="6 to 2",J31=FALSE,K31=FALSE),B31,"")))))))), "")</f>
        <v/>
      </c>
      <c r="M31" s="34" t="str">
        <f ca="1">IFERROR(IF(AND(MASTER!$K$1=MASTER!$N$2,MASTER!K31="X"),"",IF(AND(MASTER!$J$1=MASTER!$N$2,MASTER!J31="X"),"",IF(AND(MASTER!$I$1=MASTER!$N$2,MASTER!I31="X"),"",IF(AND(MASTER!$H$1=MASTER!$N$2,MASTER!H31="X"),"",IF(AND(MASTER!$G$1=MASTER!$N$2,MASTER!G31="X"),"",IF(AND(MASTER!$F$1=MASTER!$N$2,MASTER!F31="X"),"",IF(AND(MASTER!$E$1=MASTER!$N$2,MASTER!E31="X"),"",IF(AND($Q$2&lt;&gt;D31,$Q$2&lt;&gt;E31,$Q$2&lt;&gt;F31,I31="2 to 10",J31=FALSE,K31=FALSE),B31,"")))))))), "")</f>
        <v/>
      </c>
      <c r="N31" s="44" t="str">
        <f ca="1">IFERROR(IF(AND(MASTER!$K$1=MASTER!$N$2,MASTER!K31="X"),"",IF(AND(MASTER!$J$1=MASTER!$N$2,MASTER!J31="X"),"",IF(AND(MASTER!$I$1=MASTER!$N$2,MASTER!I31="X"),"",IF(AND(MASTER!$H$1=MASTER!$N$2,MASTER!H31="X"),"",IF(AND(MASTER!$G$1=MASTER!$N$2,MASTER!G31="X"),"",IF(AND(MASTER!$F$1=MASTER!$N$2,MASTER!F31="X"),"",IF(AND(MASTER!$E$1=MASTER!$N$2,MASTER!E31="X"),"",IF(AND($Q$2&lt;&gt;D31,$Q$2&lt;&gt;E31,$Q$2&lt;&gt;F31,I31="10 to 6",J31=FALSE,K31=FALSE),B31,"")))))))), "")</f>
        <v/>
      </c>
      <c r="S31" s="16">
        <v>6</v>
      </c>
      <c r="T31" s="17" t="str">
        <f t="array" aca="1" ref="T31" ca="1">INDIRECT("N"&amp;SMALL(IF(LEN($N$1:$N206)=0, "", ROW($1:$200)), ROW(P7)))</f>
        <v>Jordan White</v>
      </c>
    </row>
    <row r="32" spans="1:21" ht="16" thickBot="1" x14ac:dyDescent="0.25">
      <c r="A32">
        <v>31</v>
      </c>
      <c r="B32" s="51" t="s">
        <v>65</v>
      </c>
      <c r="C32" s="27">
        <f ca="1">IFERROR(IF(H32="NEW HIRE",100,IF($P$2-H32&lt;=100,$P$2-H32,IF($P$2-H32&gt;=365,0,))), 0)</f>
        <v>0</v>
      </c>
      <c r="D32" t="s">
        <v>5</v>
      </c>
      <c r="E32" t="s">
        <v>6</v>
      </c>
      <c r="F32" t="s">
        <v>2</v>
      </c>
      <c r="G32" s="38">
        <f ca="1">IF(AND(MASTER!K32&lt;&gt;"X",MASTER!K32&lt;&gt;"",MASTER!$K$2&lt;&gt;BUCKET!H32, MASTER!$K$2&lt;=MASTER!$M$2),MASTER!$K$2,IF(AND(MASTER!J32&lt;&gt;"X",MASTER!J32&lt;&gt;"",MASTER!$J$2&lt;&gt;BUCKET!H32, MASTER!$J$2&lt;=MASTER!$M$2),MASTER!$J$2,IF(AND(MASTER!I32&lt;&gt;"X",MASTER!I32&lt;&gt;"",MASTER!$I$2&lt;&gt;BUCKET!H32, MASTER!$I$2&lt;=MASTER!$M$2),MASTER!$I$2, IF(AND(MASTER!H32&lt;&gt;"X", MASTER!H32&lt;&gt;"", MASTER!$H$2&lt;&gt;BUCKET!H32, MASTER!$H$2&lt;=MASTER!$M$2), MASTER!$H$2, IF(AND(MASTER!G32&lt;&gt;"X", MASTER!G32&lt;&gt;"", MASTER!$G$2&lt;&gt;BUCKET!H32, MASTER!$G$2&lt;=MASTER!$M$2), MASTER!$H$2, IF(AND(MASTER!G32&lt;&gt;"X", MASTER!G32&lt;&gt;"", MASTER!$G$2&lt;&gt;BUCKET!H32, MASTER!$F$2&lt;=MASTER!$M$2), MASTER!$G$2, IF(AND(MASTER!F32&lt;&gt;"X", MASTER!F32&lt;&gt;"", MASTER!$F$2&lt;&gt;BUCKET!H32, MASTER!$F$2&lt;=MASTER!$M$2), MASTER!$F$2, IF(AND(MASTER!E32&lt;&gt;"X", MASTER!E32&lt;&gt;"", MASTER!$E$2&lt;&gt;BUCKET!H32, MASTER!$E$2&lt;=MASTER!$M$2), MASTER!$E$2, IF(AND( MASTER!D32&lt;&gt;"", MASTER!D32&lt;&gt;BUCKET!H32), MASTER!D32, IF(AND(MASTER!C32&lt;&gt;"X", MASTER!C32&lt;&gt;""), MASTER!C32))))))))))</f>
        <v>44205</v>
      </c>
      <c r="H32" s="35">
        <f ca="1">IF(AND(MASTER!K33&lt;&gt;"X", MASTER!K33&lt;&gt;"", MASTER!$K$2&lt;=MASTER!$M$2), MASTER!$K$2, IF(AND(MASTER!J33&lt;&gt;"X", MASTER!J33&lt;&gt;"", MASTER!$J$2&lt;=MASTER!$M$2),MASTER!$J$2, IF(AND(MASTER!I33&lt;&gt;"X", MASTER!I33&lt;&gt;"", MASTER!$I$2&lt;=MASTER!$M$2),MASTER!$I$2, IF(AND(MASTER!H33&lt;&gt;"X", MASTER!H33&lt;&gt;"", MASTER!$H$2&lt;=MASTER!$M$2),MASTER!$H$2, IF(AND(MASTER!G33&lt;&gt;"X", MASTER!G33&lt;&gt;"", MASTER!$F$2&lt;=MASTER!$M$2),MASTER!$G$2, IF(AND(MASTER!F33&lt;&gt;"X", MASTER!F33&lt;&gt;"", MASTER!$F$2&lt;=MASTER!$M$2), MASTER!$F$2, IF(AND(MASTER!E33&lt;&gt;"X", MASTER!E33&lt;&gt;"", MASTER!$E$2&lt;=MASTER!$M$2),MASTER!$E$2, IF(MASTER!D33&lt;&gt;"", MASTER!D33,""))))))))</f>
        <v>44206</v>
      </c>
      <c r="I32" s="8" t="s">
        <v>16</v>
      </c>
      <c r="J32" s="27" t="b">
        <f ca="1">IFERROR(IF(H32="NEW HIRE",FALSE,IF(AND((H32-G32)&lt;=1),($P$2-H32)&lt;=1)), "")</f>
        <v>0</v>
      </c>
      <c r="K32" s="54" t="b">
        <v>0</v>
      </c>
      <c r="L32" s="30" t="str">
        <f ca="1">IFERROR(IF(AND(MASTER!$K$1=MASTER!$N$2,MASTER!K32="X"),"",IF(AND(MASTER!$J$1=MASTER!$N$2,MASTER!J32="X"),"",IF(AND(MASTER!$I$1=MASTER!$N$2,MASTER!I32="X"),"",IF(AND(MASTER!$H$1=MASTER!$N$2,MASTER!H32="X"),"",IF(AND(MASTER!$G$1=MASTER!$N$2,MASTER!G32="X"),"",IF(AND(MASTER!$F$1=MASTER!$N$2,MASTER!F32="X"),"",IF(AND(MASTER!$E$1=MASTER!$N$2,MASTER!E32="X"),"",IF(AND($Q$2&lt;&gt;D32,$Q$2&lt;&gt;E32,$Q$2&lt;&gt;F32,I32="6 to 2",J32=FALSE,K32=FALSE),B32,"")))))))), "")</f>
        <v/>
      </c>
      <c r="M32" s="34" t="str">
        <f ca="1">IFERROR(IF(AND(MASTER!$K$1=MASTER!$N$2,MASTER!K32="X"),"",IF(AND(MASTER!$J$1=MASTER!$N$2,MASTER!J32="X"),"",IF(AND(MASTER!$I$1=MASTER!$N$2,MASTER!I32="X"),"",IF(AND(MASTER!$H$1=MASTER!$N$2,MASTER!H32="X"),"",IF(AND(MASTER!$G$1=MASTER!$N$2,MASTER!G32="X"),"",IF(AND(MASTER!$F$1=MASTER!$N$2,MASTER!F32="X"),"",IF(AND(MASTER!$E$1=MASTER!$N$2,MASTER!E32="X"),"",IF(AND($Q$2&lt;&gt;D32,$Q$2&lt;&gt;E32,$Q$2&lt;&gt;F32,I32="2 to 10",J32=FALSE,K32=FALSE),B32,"")))))))), "")</f>
        <v/>
      </c>
      <c r="N32" s="44" t="str">
        <f ca="1">IFERROR(IF(AND(MASTER!$K$1=MASTER!$N$2,MASTER!K32="X"),"",IF(AND(MASTER!$J$1=MASTER!$N$2,MASTER!J32="X"),"",IF(AND(MASTER!$I$1=MASTER!$N$2,MASTER!I32="X"),"",IF(AND(MASTER!$H$1=MASTER!$N$2,MASTER!H32="X"),"",IF(AND(MASTER!$G$1=MASTER!$N$2,MASTER!G32="X"),"",IF(AND(MASTER!$F$1=MASTER!$N$2,MASTER!F32="X"),"",IF(AND(MASTER!$E$1=MASTER!$N$2,MASTER!E32="X"),"",IF(AND($Q$2&lt;&gt;D32,$Q$2&lt;&gt;E32,$Q$2&lt;&gt;F32,I32="10 to 6",J32=FALSE,K32=FALSE),B32,"")))))))), "")</f>
        <v/>
      </c>
      <c r="S32" s="16">
        <v>7</v>
      </c>
      <c r="T32" s="17" t="str">
        <f t="array" aca="1" ref="T32" ca="1">INDIRECT("N"&amp;SMALL(IF(LEN($N$1:$N207)=0, "", ROW($1:$200)), ROW(P8)))</f>
        <v>Skyler Jones</v>
      </c>
    </row>
    <row r="33" spans="1:20" ht="16" thickBot="1" x14ac:dyDescent="0.25">
      <c r="A33">
        <v>32</v>
      </c>
      <c r="B33" s="51" t="s">
        <v>47</v>
      </c>
      <c r="C33" s="27">
        <f ca="1">IFERROR(IF(H33="NEW HIRE",100,IF($P$2-H33&lt;=100,$P$2-H33,IF($P$2-H33&gt;=365,0,))), 0)</f>
        <v>0</v>
      </c>
      <c r="D33" t="s">
        <v>5</v>
      </c>
      <c r="E33" t="s">
        <v>6</v>
      </c>
      <c r="F33" t="s">
        <v>2</v>
      </c>
      <c r="G33" s="38">
        <f ca="1">IF(AND(MASTER!K33&lt;&gt;"X",MASTER!K33&lt;&gt;"",MASTER!$K$2&lt;&gt;BUCKET!H33, MASTER!$K$2&lt;=MASTER!$M$2),MASTER!$K$2,IF(AND(MASTER!J33&lt;&gt;"X",MASTER!J33&lt;&gt;"",MASTER!$J$2&lt;&gt;BUCKET!H33, MASTER!$J$2&lt;=MASTER!$M$2),MASTER!$J$2,IF(AND(MASTER!I33&lt;&gt;"X",MASTER!I33&lt;&gt;"",MASTER!$I$2&lt;&gt;BUCKET!H33, MASTER!$I$2&lt;=MASTER!$M$2),MASTER!$I$2, IF(AND(MASTER!H33&lt;&gt;"X", MASTER!H33&lt;&gt;"", MASTER!$H$2&lt;&gt;BUCKET!H33, MASTER!$H$2&lt;=MASTER!$M$2), MASTER!$H$2, IF(AND(MASTER!G33&lt;&gt;"X", MASTER!G33&lt;&gt;"", MASTER!$G$2&lt;&gt;BUCKET!H33, MASTER!$G$2&lt;=MASTER!$M$2), MASTER!$H$2, IF(AND(MASTER!G33&lt;&gt;"X", MASTER!G33&lt;&gt;"", MASTER!$G$2&lt;&gt;BUCKET!H33, MASTER!$F$2&lt;=MASTER!$M$2), MASTER!$G$2, IF(AND(MASTER!F33&lt;&gt;"X", MASTER!F33&lt;&gt;"", MASTER!$F$2&lt;&gt;BUCKET!H33, MASTER!$F$2&lt;=MASTER!$M$2), MASTER!$F$2, IF(AND(MASTER!E33&lt;&gt;"X", MASTER!E33&lt;&gt;"", MASTER!$E$2&lt;&gt;BUCKET!H33, MASTER!$E$2&lt;=MASTER!$M$2), MASTER!$E$2, IF(AND( MASTER!D33&lt;&gt;"", MASTER!D33&lt;&gt;BUCKET!H33), MASTER!D33, IF(AND(MASTER!C33&lt;&gt;"X", MASTER!C33&lt;&gt;""), MASTER!C33))))))))))</f>
        <v>44206</v>
      </c>
      <c r="H33" s="35">
        <f ca="1">IF(AND(MASTER!K34&lt;&gt;"X", MASTER!K34&lt;&gt;"", MASTER!$K$2&lt;=MASTER!$M$2), MASTER!$K$2, IF(AND(MASTER!J34&lt;&gt;"X", MASTER!J34&lt;&gt;"", MASTER!$J$2&lt;=MASTER!$M$2),MASTER!$J$2, IF(AND(MASTER!I34&lt;&gt;"X", MASTER!I34&lt;&gt;"", MASTER!$I$2&lt;=MASTER!$M$2),MASTER!$I$2, IF(AND(MASTER!H34&lt;&gt;"X", MASTER!H34&lt;&gt;"", MASTER!$H$2&lt;=MASTER!$M$2),MASTER!$H$2, IF(AND(MASTER!G34&lt;&gt;"X", MASTER!G34&lt;&gt;"", MASTER!$F$2&lt;=MASTER!$M$2),MASTER!$G$2, IF(AND(MASTER!F34&lt;&gt;"X", MASTER!F34&lt;&gt;"", MASTER!$F$2&lt;=MASTER!$M$2), MASTER!$F$2, IF(AND(MASTER!E34&lt;&gt;"X", MASTER!E34&lt;&gt;"", MASTER!$E$2&lt;=MASTER!$M$2),MASTER!$E$2, IF(MASTER!D34&lt;&gt;"", MASTER!D34,""))))))))</f>
        <v>44207</v>
      </c>
      <c r="I33" s="8" t="s">
        <v>13</v>
      </c>
      <c r="J33" s="27" t="b">
        <f ca="1">IFERROR(IF(H33="NEW HIRE",FALSE,IF(AND((H33-G33)&lt;=1),($P$2-H33)&lt;=1)), "")</f>
        <v>0</v>
      </c>
      <c r="K33" s="54" t="b">
        <v>0</v>
      </c>
      <c r="L33" s="30" t="str">
        <f ca="1">IFERROR(IF(AND(MASTER!$K$1=MASTER!$N$2,MASTER!K33="X"),"",IF(AND(MASTER!$J$1=MASTER!$N$2,MASTER!J33="X"),"",IF(AND(MASTER!$I$1=MASTER!$N$2,MASTER!I33="X"),"",IF(AND(MASTER!$H$1=MASTER!$N$2,MASTER!H33="X"),"",IF(AND(MASTER!$G$1=MASTER!$N$2,MASTER!G33="X"),"",IF(AND(MASTER!$F$1=MASTER!$N$2,MASTER!F33="X"),"",IF(AND(MASTER!$E$1=MASTER!$N$2,MASTER!E33="X"),"",IF(AND($Q$2&lt;&gt;D33,$Q$2&lt;&gt;E33,$Q$2&lt;&gt;F33,I33="6 to 2",J33=FALSE,K33=FALSE),B33,"")))))))), "")</f>
        <v/>
      </c>
      <c r="M33" s="34" t="str">
        <f ca="1">IFERROR(IF(AND(MASTER!$K$1=MASTER!$N$2,MASTER!K33="X"),"",IF(AND(MASTER!$J$1=MASTER!$N$2,MASTER!J33="X"),"",IF(AND(MASTER!$I$1=MASTER!$N$2,MASTER!I33="X"),"",IF(AND(MASTER!$H$1=MASTER!$N$2,MASTER!H33="X"),"",IF(AND(MASTER!$G$1=MASTER!$N$2,MASTER!G33="X"),"",IF(AND(MASTER!$F$1=MASTER!$N$2,MASTER!F33="X"),"",IF(AND(MASTER!$E$1=MASTER!$N$2,MASTER!E33="X"),"",IF(AND($Q$2&lt;&gt;D33,$Q$2&lt;&gt;E33,$Q$2&lt;&gt;F33,I33="2 to 10",J33=FALSE,K33=FALSE),B33,"")))))))), "")</f>
        <v/>
      </c>
      <c r="N33" s="44" t="str">
        <f ca="1">IFERROR(IF(AND(MASTER!$K$1=MASTER!$N$2,MASTER!K33="X"),"",IF(AND(MASTER!$J$1=MASTER!$N$2,MASTER!J33="X"),"",IF(AND(MASTER!$I$1=MASTER!$N$2,MASTER!I33="X"),"",IF(AND(MASTER!$H$1=MASTER!$N$2,MASTER!H33="X"),"",IF(AND(MASTER!$G$1=MASTER!$N$2,MASTER!G33="X"),"",IF(AND(MASTER!$F$1=MASTER!$N$2,MASTER!F33="X"),"",IF(AND(MASTER!$E$1=MASTER!$N$2,MASTER!E33="X"),"",IF(AND($Q$2&lt;&gt;D33,$Q$2&lt;&gt;E33,$Q$2&lt;&gt;F33,I33="10 to 6",J33=FALSE,K33=FALSE),B33,"")))))))), "")</f>
        <v/>
      </c>
      <c r="S33" s="16">
        <v>8</v>
      </c>
      <c r="T33" s="17" t="e">
        <f t="array" aca="1" ref="T33" ca="1">INDIRECT("N"&amp;SMALL(IF(LEN($N$1:$N208)=0, "", ROW($1:$200)), ROW(P9)))</f>
        <v>#NUM!</v>
      </c>
    </row>
    <row r="34" spans="1:20" ht="16" thickBot="1" x14ac:dyDescent="0.25">
      <c r="A34">
        <v>33</v>
      </c>
      <c r="B34" s="51" t="s">
        <v>66</v>
      </c>
      <c r="C34" s="27">
        <f ca="1">IFERROR(IF(H34="NEW HIRE",100,IF($P$2-H34&lt;=100,$P$2-H34,IF($P$2-H34&gt;=365,0,))), 0)</f>
        <v>0</v>
      </c>
      <c r="D34" t="s">
        <v>6</v>
      </c>
      <c r="E34" t="s">
        <v>2</v>
      </c>
      <c r="F34" t="s">
        <v>7</v>
      </c>
      <c r="G34" s="38">
        <f ca="1">IF(AND(MASTER!K34&lt;&gt;"X",MASTER!K34&lt;&gt;"",MASTER!$K$2&lt;&gt;BUCKET!H34, MASTER!$K$2&lt;=MASTER!$M$2),MASTER!$K$2,IF(AND(MASTER!J34&lt;&gt;"X",MASTER!J34&lt;&gt;"",MASTER!$J$2&lt;&gt;BUCKET!H34, MASTER!$J$2&lt;=MASTER!$M$2),MASTER!$J$2,IF(AND(MASTER!I34&lt;&gt;"X",MASTER!I34&lt;&gt;"",MASTER!$I$2&lt;&gt;BUCKET!H34, MASTER!$I$2&lt;=MASTER!$M$2),MASTER!$I$2, IF(AND(MASTER!H34&lt;&gt;"X", MASTER!H34&lt;&gt;"", MASTER!$H$2&lt;&gt;BUCKET!H34, MASTER!$H$2&lt;=MASTER!$M$2), MASTER!$H$2, IF(AND(MASTER!G34&lt;&gt;"X", MASTER!G34&lt;&gt;"", MASTER!$G$2&lt;&gt;BUCKET!H34, MASTER!$G$2&lt;=MASTER!$M$2), MASTER!$H$2, IF(AND(MASTER!G34&lt;&gt;"X", MASTER!G34&lt;&gt;"", MASTER!$G$2&lt;&gt;BUCKET!H34, MASTER!$F$2&lt;=MASTER!$M$2), MASTER!$G$2, IF(AND(MASTER!F34&lt;&gt;"X", MASTER!F34&lt;&gt;"", MASTER!$F$2&lt;&gt;BUCKET!H34, MASTER!$F$2&lt;=MASTER!$M$2), MASTER!$F$2, IF(AND(MASTER!E34&lt;&gt;"X", MASTER!E34&lt;&gt;"", MASTER!$E$2&lt;&gt;BUCKET!H34, MASTER!$E$2&lt;=MASTER!$M$2), MASTER!$E$2, IF(AND( MASTER!D34&lt;&gt;"", MASTER!D34&lt;&gt;BUCKET!H34), MASTER!D34, IF(AND(MASTER!C34&lt;&gt;"X", MASTER!C34&lt;&gt;""), MASTER!C34))))))))))</f>
        <v>44207</v>
      </c>
      <c r="H34" s="35">
        <f ca="1">IF(AND(MASTER!K35&lt;&gt;"X", MASTER!K35&lt;&gt;"", MASTER!$K$2&lt;=MASTER!$M$2), MASTER!$K$2, IF(AND(MASTER!J35&lt;&gt;"X", MASTER!J35&lt;&gt;"", MASTER!$J$2&lt;=MASTER!$M$2),MASTER!$J$2, IF(AND(MASTER!I35&lt;&gt;"X", MASTER!I35&lt;&gt;"", MASTER!$I$2&lt;=MASTER!$M$2),MASTER!$I$2, IF(AND(MASTER!H35&lt;&gt;"X", MASTER!H35&lt;&gt;"", MASTER!$H$2&lt;=MASTER!$M$2),MASTER!$H$2, IF(AND(MASTER!G35&lt;&gt;"X", MASTER!G35&lt;&gt;"", MASTER!$F$2&lt;=MASTER!$M$2),MASTER!$G$2, IF(AND(MASTER!F35&lt;&gt;"X", MASTER!F35&lt;&gt;"", MASTER!$F$2&lt;=MASTER!$M$2), MASTER!$F$2, IF(AND(MASTER!E35&lt;&gt;"X", MASTER!E35&lt;&gt;"", MASTER!$E$2&lt;=MASTER!$M$2),MASTER!$E$2, IF(MASTER!D35&lt;&gt;"", MASTER!D35,""))))))))</f>
        <v>44208</v>
      </c>
      <c r="I34" s="8" t="s">
        <v>13</v>
      </c>
      <c r="J34" s="27" t="b">
        <f ca="1">IFERROR(IF(H34="NEW HIRE",FALSE,IF(AND((H34-G34)&lt;=1),($P$2-H34)&lt;=1)), "")</f>
        <v>0</v>
      </c>
      <c r="K34" s="54" t="b">
        <v>0</v>
      </c>
      <c r="L34" s="30" t="str">
        <f ca="1">IFERROR(IF(AND(MASTER!$K$1=MASTER!$N$2,MASTER!K34="X"),"",IF(AND(MASTER!$J$1=MASTER!$N$2,MASTER!J34="X"),"",IF(AND(MASTER!$I$1=MASTER!$N$2,MASTER!I34="X"),"",IF(AND(MASTER!$H$1=MASTER!$N$2,MASTER!H34="X"),"",IF(AND(MASTER!$G$1=MASTER!$N$2,MASTER!G34="X"),"",IF(AND(MASTER!$F$1=MASTER!$N$2,MASTER!F34="X"),"",IF(AND(MASTER!$E$1=MASTER!$N$2,MASTER!E34="X"),"",IF(AND($Q$2&lt;&gt;D34,$Q$2&lt;&gt;E34,$Q$2&lt;&gt;F34,I34="6 to 2",J34=FALSE,K34=FALSE),B34,"")))))))), "")</f>
        <v/>
      </c>
      <c r="M34" s="34" t="str">
        <f ca="1">IFERROR(IF(AND(MASTER!$K$1=MASTER!$N$2,MASTER!K34="X"),"",IF(AND(MASTER!$J$1=MASTER!$N$2,MASTER!J34="X"),"",IF(AND(MASTER!$I$1=MASTER!$N$2,MASTER!I34="X"),"",IF(AND(MASTER!$H$1=MASTER!$N$2,MASTER!H34="X"),"",IF(AND(MASTER!$G$1=MASTER!$N$2,MASTER!G34="X"),"",IF(AND(MASTER!$F$1=MASTER!$N$2,MASTER!F34="X"),"",IF(AND(MASTER!$E$1=MASTER!$N$2,MASTER!E34="X"),"",IF(AND($Q$2&lt;&gt;D34,$Q$2&lt;&gt;E34,$Q$2&lt;&gt;F34,I34="2 to 10",J34=FALSE,K34=FALSE),B34,"")))))))), "")</f>
        <v/>
      </c>
      <c r="N34" s="44" t="str">
        <f ca="1">IFERROR(IF(AND(MASTER!$K$1=MASTER!$N$2,MASTER!K34="X"),"",IF(AND(MASTER!$J$1=MASTER!$N$2,MASTER!J34="X"),"",IF(AND(MASTER!$I$1=MASTER!$N$2,MASTER!I34="X"),"",IF(AND(MASTER!$H$1=MASTER!$N$2,MASTER!H34="X"),"",IF(AND(MASTER!$G$1=MASTER!$N$2,MASTER!G34="X"),"",IF(AND(MASTER!$F$1=MASTER!$N$2,MASTER!F34="X"),"",IF(AND(MASTER!$E$1=MASTER!$N$2,MASTER!E34="X"),"",IF(AND($Q$2&lt;&gt;D34,$Q$2&lt;&gt;E34,$Q$2&lt;&gt;F34,I34="10 to 6",J34=FALSE,K34=FALSE),B34,"")))))))), "")</f>
        <v/>
      </c>
      <c r="S34" s="16">
        <v>9</v>
      </c>
      <c r="T34" s="17" t="e">
        <f t="array" aca="1" ref="T34" ca="1">INDIRECT("N"&amp;SMALL(IF(LEN($N$1:$N209)=0, "", ROW($1:$200)), ROW(P10)))</f>
        <v>#NUM!</v>
      </c>
    </row>
    <row r="35" spans="1:20" ht="16" thickBot="1" x14ac:dyDescent="0.25">
      <c r="A35">
        <v>34</v>
      </c>
      <c r="B35" s="51" t="s">
        <v>67</v>
      </c>
      <c r="C35" s="27">
        <f ca="1">IFERROR(IF(H35="NEW HIRE",100,IF($P$2-H35&lt;=100,$P$2-H35,IF($P$2-H35&gt;=365,0,))), 0)</f>
        <v>0</v>
      </c>
      <c r="D35" t="s">
        <v>6</v>
      </c>
      <c r="E35" t="s">
        <v>2</v>
      </c>
      <c r="F35" t="s">
        <v>7</v>
      </c>
      <c r="G35" s="38">
        <f ca="1">IF(AND(MASTER!K35&lt;&gt;"X",MASTER!K35&lt;&gt;"",MASTER!$K$2&lt;&gt;BUCKET!H35, MASTER!$K$2&lt;=MASTER!$M$2),MASTER!$K$2,IF(AND(MASTER!J35&lt;&gt;"X",MASTER!J35&lt;&gt;"",MASTER!$J$2&lt;&gt;BUCKET!H35, MASTER!$J$2&lt;=MASTER!$M$2),MASTER!$J$2,IF(AND(MASTER!I35&lt;&gt;"X",MASTER!I35&lt;&gt;"",MASTER!$I$2&lt;&gt;BUCKET!H35, MASTER!$I$2&lt;=MASTER!$M$2),MASTER!$I$2, IF(AND(MASTER!H35&lt;&gt;"X", MASTER!H35&lt;&gt;"", MASTER!$H$2&lt;&gt;BUCKET!H35, MASTER!$H$2&lt;=MASTER!$M$2), MASTER!$H$2, IF(AND(MASTER!G35&lt;&gt;"X", MASTER!G35&lt;&gt;"", MASTER!$G$2&lt;&gt;BUCKET!H35, MASTER!$G$2&lt;=MASTER!$M$2), MASTER!$H$2, IF(AND(MASTER!G35&lt;&gt;"X", MASTER!G35&lt;&gt;"", MASTER!$G$2&lt;&gt;BUCKET!H35, MASTER!$F$2&lt;=MASTER!$M$2), MASTER!$G$2, IF(AND(MASTER!F35&lt;&gt;"X", MASTER!F35&lt;&gt;"", MASTER!$F$2&lt;&gt;BUCKET!H35, MASTER!$F$2&lt;=MASTER!$M$2), MASTER!$F$2, IF(AND(MASTER!E35&lt;&gt;"X", MASTER!E35&lt;&gt;"", MASTER!$E$2&lt;&gt;BUCKET!H35, MASTER!$E$2&lt;=MASTER!$M$2), MASTER!$E$2, IF(AND( MASTER!D35&lt;&gt;"", MASTER!D35&lt;&gt;BUCKET!H35), MASTER!D35, IF(AND(MASTER!C35&lt;&gt;"X", MASTER!C35&lt;&gt;""), MASTER!C35))))))))))</f>
        <v>44208</v>
      </c>
      <c r="H35" s="35">
        <f ca="1">IF(AND(MASTER!K36&lt;&gt;"X", MASTER!K36&lt;&gt;"", MASTER!$K$2&lt;=MASTER!$M$2), MASTER!$K$2, IF(AND(MASTER!J36&lt;&gt;"X", MASTER!J36&lt;&gt;"", MASTER!$J$2&lt;=MASTER!$M$2),MASTER!$J$2, IF(AND(MASTER!I36&lt;&gt;"X", MASTER!I36&lt;&gt;"", MASTER!$I$2&lt;=MASTER!$M$2),MASTER!$I$2, IF(AND(MASTER!H36&lt;&gt;"X", MASTER!H36&lt;&gt;"", MASTER!$H$2&lt;=MASTER!$M$2),MASTER!$H$2, IF(AND(MASTER!G36&lt;&gt;"X", MASTER!G36&lt;&gt;"", MASTER!$F$2&lt;=MASTER!$M$2),MASTER!$G$2, IF(AND(MASTER!F36&lt;&gt;"X", MASTER!F36&lt;&gt;"", MASTER!$F$2&lt;=MASTER!$M$2), MASTER!$F$2, IF(AND(MASTER!E36&lt;&gt;"X", MASTER!E36&lt;&gt;"", MASTER!$E$2&lt;=MASTER!$M$2),MASTER!$E$2, IF(MASTER!D36&lt;&gt;"", MASTER!D36,""))))))))</f>
        <v>44209</v>
      </c>
      <c r="I35" s="8" t="s">
        <v>13</v>
      </c>
      <c r="J35" s="27" t="b">
        <f ca="1">IFERROR(IF(H35="NEW HIRE",FALSE,IF(AND((H35-G35)&lt;=1),($P$2-H35)&lt;=1)), "")</f>
        <v>0</v>
      </c>
      <c r="K35" s="54" t="s">
        <v>19</v>
      </c>
      <c r="L35" s="30" t="str">
        <f ca="1">IFERROR(IF(AND(MASTER!$K$1=MASTER!$N$2,MASTER!K35="X"),"",IF(AND(MASTER!$J$1=MASTER!$N$2,MASTER!J35="X"),"",IF(AND(MASTER!$I$1=MASTER!$N$2,MASTER!I35="X"),"",IF(AND(MASTER!$H$1=MASTER!$N$2,MASTER!H35="X"),"",IF(AND(MASTER!$G$1=MASTER!$N$2,MASTER!G35="X"),"",IF(AND(MASTER!$F$1=MASTER!$N$2,MASTER!F35="X"),"",IF(AND(MASTER!$E$1=MASTER!$N$2,MASTER!E35="X"),"",IF(AND($Q$2&lt;&gt;D35,$Q$2&lt;&gt;E35,$Q$2&lt;&gt;F35,I35="6 to 2",J35=FALSE,K35=FALSE),B35,"")))))))), "")</f>
        <v/>
      </c>
      <c r="M35" s="34" t="str">
        <f ca="1">IFERROR(IF(AND(MASTER!$K$1=MASTER!$N$2,MASTER!K35="X"),"",IF(AND(MASTER!$J$1=MASTER!$N$2,MASTER!J35="X"),"",IF(AND(MASTER!$I$1=MASTER!$N$2,MASTER!I35="X"),"",IF(AND(MASTER!$H$1=MASTER!$N$2,MASTER!H35="X"),"",IF(AND(MASTER!$G$1=MASTER!$N$2,MASTER!G35="X"),"",IF(AND(MASTER!$F$1=MASTER!$N$2,MASTER!F35="X"),"",IF(AND(MASTER!$E$1=MASTER!$N$2,MASTER!E35="X"),"",IF(AND($Q$2&lt;&gt;D35,$Q$2&lt;&gt;E35,$Q$2&lt;&gt;F35,I35="2 to 10",J35=FALSE,K35=FALSE),B35,"")))))))), "")</f>
        <v/>
      </c>
      <c r="N35" s="44" t="str">
        <f ca="1">IFERROR(IF(AND(MASTER!$K$1=MASTER!$N$2,MASTER!K35="X"),"",IF(AND(MASTER!$J$1=MASTER!$N$2,MASTER!J35="X"),"",IF(AND(MASTER!$I$1=MASTER!$N$2,MASTER!I35="X"),"",IF(AND(MASTER!$H$1=MASTER!$N$2,MASTER!H35="X"),"",IF(AND(MASTER!$G$1=MASTER!$N$2,MASTER!G35="X"),"",IF(AND(MASTER!$F$1=MASTER!$N$2,MASTER!F35="X"),"",IF(AND(MASTER!$E$1=MASTER!$N$2,MASTER!E35="X"),"",IF(AND($Q$2&lt;&gt;D35,$Q$2&lt;&gt;E35,$Q$2&lt;&gt;F35,I35="10 to 6",J35=FALSE,K35=FALSE),B35,"")))))))), "")</f>
        <v/>
      </c>
      <c r="S35" s="18">
        <v>10</v>
      </c>
      <c r="T35" s="19" t="e">
        <f t="array" aca="1" ref="T35" ca="1">INDIRECT("N"&amp;SMALL(IF(LEN($N$1:$N210)=0, "", ROW($1:$200)), ROW(P11)))</f>
        <v>#NUM!</v>
      </c>
    </row>
    <row r="36" spans="1:20" ht="16" thickBot="1" x14ac:dyDescent="0.25">
      <c r="A36">
        <v>35</v>
      </c>
      <c r="B36" s="51" t="s">
        <v>66</v>
      </c>
      <c r="C36" s="27">
        <f ca="1">IFERROR(IF(H36="NEW HIRE",100,IF($P$2-H36&lt;=100,$P$2-H36,IF($P$2-H36&gt;=365,0,))), 0)</f>
        <v>0</v>
      </c>
      <c r="D36" t="s">
        <v>3</v>
      </c>
      <c r="E36" t="s">
        <v>4</v>
      </c>
      <c r="F36" t="s">
        <v>5</v>
      </c>
      <c r="G36" s="38">
        <f ca="1">IF(AND(MASTER!K36&lt;&gt;"X",MASTER!K36&lt;&gt;"",MASTER!$K$2&lt;&gt;BUCKET!H36, MASTER!$K$2&lt;=MASTER!$M$2),MASTER!$K$2,IF(AND(MASTER!J36&lt;&gt;"X",MASTER!J36&lt;&gt;"",MASTER!$J$2&lt;&gt;BUCKET!H36, MASTER!$J$2&lt;=MASTER!$M$2),MASTER!$J$2,IF(AND(MASTER!I36&lt;&gt;"X",MASTER!I36&lt;&gt;"",MASTER!$I$2&lt;&gt;BUCKET!H36, MASTER!$I$2&lt;=MASTER!$M$2),MASTER!$I$2, IF(AND(MASTER!H36&lt;&gt;"X", MASTER!H36&lt;&gt;"", MASTER!$H$2&lt;&gt;BUCKET!H36, MASTER!$H$2&lt;=MASTER!$M$2), MASTER!$H$2, IF(AND(MASTER!G36&lt;&gt;"X", MASTER!G36&lt;&gt;"", MASTER!$G$2&lt;&gt;BUCKET!H36, MASTER!$G$2&lt;=MASTER!$M$2), MASTER!$H$2, IF(AND(MASTER!G36&lt;&gt;"X", MASTER!G36&lt;&gt;"", MASTER!$G$2&lt;&gt;BUCKET!H36, MASTER!$F$2&lt;=MASTER!$M$2), MASTER!$G$2, IF(AND(MASTER!F36&lt;&gt;"X", MASTER!F36&lt;&gt;"", MASTER!$F$2&lt;&gt;BUCKET!H36, MASTER!$F$2&lt;=MASTER!$M$2), MASTER!$F$2, IF(AND(MASTER!E36&lt;&gt;"X", MASTER!E36&lt;&gt;"", MASTER!$E$2&lt;&gt;BUCKET!H36, MASTER!$E$2&lt;=MASTER!$M$2), MASTER!$E$2, IF(AND( MASTER!D36&lt;&gt;"", MASTER!D36&lt;&gt;BUCKET!H36), MASTER!D36, IF(AND(MASTER!C36&lt;&gt;"X", MASTER!C36&lt;&gt;""), MASTER!C36))))))))))</f>
        <v>44209</v>
      </c>
      <c r="H36" s="35">
        <f ca="1">IF(AND(MASTER!K37&lt;&gt;"X", MASTER!K37&lt;&gt;"", MASTER!$K$2&lt;=MASTER!$M$2), MASTER!$K$2, IF(AND(MASTER!J37&lt;&gt;"X", MASTER!J37&lt;&gt;"", MASTER!$J$2&lt;=MASTER!$M$2),MASTER!$J$2, IF(AND(MASTER!I37&lt;&gt;"X", MASTER!I37&lt;&gt;"", MASTER!$I$2&lt;=MASTER!$M$2),MASTER!$I$2, IF(AND(MASTER!H37&lt;&gt;"X", MASTER!H37&lt;&gt;"", MASTER!$H$2&lt;=MASTER!$M$2),MASTER!$H$2, IF(AND(MASTER!G37&lt;&gt;"X", MASTER!G37&lt;&gt;"", MASTER!$F$2&lt;=MASTER!$M$2),MASTER!$G$2, IF(AND(MASTER!F37&lt;&gt;"X", MASTER!F37&lt;&gt;"", MASTER!$F$2&lt;=MASTER!$M$2), MASTER!$F$2, IF(AND(MASTER!E37&lt;&gt;"X", MASTER!E37&lt;&gt;"", MASTER!$E$2&lt;=MASTER!$M$2),MASTER!$E$2, IF(MASTER!D37&lt;&gt;"", MASTER!D37,""))))))))</f>
        <v>44210</v>
      </c>
      <c r="I36" s="8" t="s">
        <v>13</v>
      </c>
      <c r="J36" s="27" t="b">
        <f ca="1">IFERROR(IF(H36="NEW HIRE",FALSE,IF(AND((H36-G36)&lt;=1),($P$2-H36)&lt;=1)), "")</f>
        <v>0</v>
      </c>
      <c r="K36" s="54" t="b">
        <v>0</v>
      </c>
      <c r="L36" s="30" t="str">
        <f ca="1">IFERROR(IF(AND(MASTER!$K$1=MASTER!$N$2,MASTER!K36="X"),"",IF(AND(MASTER!$J$1=MASTER!$N$2,MASTER!J36="X"),"",IF(AND(MASTER!$I$1=MASTER!$N$2,MASTER!I36="X"),"",IF(AND(MASTER!$H$1=MASTER!$N$2,MASTER!H36="X"),"",IF(AND(MASTER!$G$1=MASTER!$N$2,MASTER!G36="X"),"",IF(AND(MASTER!$F$1=MASTER!$N$2,MASTER!F36="X"),"",IF(AND(MASTER!$E$1=MASTER!$N$2,MASTER!E36="X"),"",IF(AND($Q$2&lt;&gt;D36,$Q$2&lt;&gt;E36,$Q$2&lt;&gt;F36,I36="6 to 2",J36=FALSE,K36=FALSE),B36,"")))))))), "")</f>
        <v>Drew Jones</v>
      </c>
      <c r="M36" s="34" t="str">
        <f ca="1">IFERROR(IF(AND(MASTER!$K$1=MASTER!$N$2,MASTER!K36="X"),"",IF(AND(MASTER!$J$1=MASTER!$N$2,MASTER!J36="X"),"",IF(AND(MASTER!$I$1=MASTER!$N$2,MASTER!I36="X"),"",IF(AND(MASTER!$H$1=MASTER!$N$2,MASTER!H36="X"),"",IF(AND(MASTER!$G$1=MASTER!$N$2,MASTER!G36="X"),"",IF(AND(MASTER!$F$1=MASTER!$N$2,MASTER!F36="X"),"",IF(AND(MASTER!$E$1=MASTER!$N$2,MASTER!E36="X"),"",IF(AND($Q$2&lt;&gt;D36,$Q$2&lt;&gt;E36,$Q$2&lt;&gt;F36,I36="2 to 10",J36=FALSE,K36=FALSE),B36,"")))))))), "")</f>
        <v/>
      </c>
      <c r="N36" s="44" t="str">
        <f ca="1">IFERROR(IF(AND(MASTER!$K$1=MASTER!$N$2,MASTER!K36="X"),"",IF(AND(MASTER!$J$1=MASTER!$N$2,MASTER!J36="X"),"",IF(AND(MASTER!$I$1=MASTER!$N$2,MASTER!I36="X"),"",IF(AND(MASTER!$H$1=MASTER!$N$2,MASTER!H36="X"),"",IF(AND(MASTER!$G$1=MASTER!$N$2,MASTER!G36="X"),"",IF(AND(MASTER!$F$1=MASTER!$N$2,MASTER!F36="X"),"",IF(AND(MASTER!$E$1=MASTER!$N$2,MASTER!E36="X"),"",IF(AND($Q$2&lt;&gt;D36,$Q$2&lt;&gt;E36,$Q$2&lt;&gt;F36,I36="10 to 6",J36=FALSE,K36=FALSE),B36,"")))))))), "")</f>
        <v/>
      </c>
      <c r="S36" s="12" t="s">
        <v>20</v>
      </c>
      <c r="T36" s="13">
        <f ca="1">COUNTIF(I2:I200, "10 to 6")</f>
        <v>13</v>
      </c>
    </row>
    <row r="37" spans="1:20" ht="16" thickBot="1" x14ac:dyDescent="0.25">
      <c r="A37">
        <v>36</v>
      </c>
      <c r="B37" s="51" t="s">
        <v>68</v>
      </c>
      <c r="C37" s="27">
        <f ca="1">IFERROR(IF(H37="NEW HIRE",100,IF($P$2-H37&lt;=100,$P$2-H37,IF($P$2-H37&gt;=365,0,))), 0)</f>
        <v>0</v>
      </c>
      <c r="D37" t="s">
        <v>5</v>
      </c>
      <c r="E37" t="s">
        <v>6</v>
      </c>
      <c r="F37" t="s">
        <v>2</v>
      </c>
      <c r="G37" s="38">
        <f ca="1">IF(AND(MASTER!K37&lt;&gt;"X",MASTER!K37&lt;&gt;"",MASTER!$K$2&lt;&gt;BUCKET!H37, MASTER!$K$2&lt;=MASTER!$M$2),MASTER!$K$2,IF(AND(MASTER!J37&lt;&gt;"X",MASTER!J37&lt;&gt;"",MASTER!$J$2&lt;&gt;BUCKET!H37, MASTER!$J$2&lt;=MASTER!$M$2),MASTER!$J$2,IF(AND(MASTER!I37&lt;&gt;"X",MASTER!I37&lt;&gt;"",MASTER!$I$2&lt;&gt;BUCKET!H37, MASTER!$I$2&lt;=MASTER!$M$2),MASTER!$I$2, IF(AND(MASTER!H37&lt;&gt;"X", MASTER!H37&lt;&gt;"", MASTER!$H$2&lt;&gt;BUCKET!H37, MASTER!$H$2&lt;=MASTER!$M$2), MASTER!$H$2, IF(AND(MASTER!G37&lt;&gt;"X", MASTER!G37&lt;&gt;"", MASTER!$G$2&lt;&gt;BUCKET!H37, MASTER!$G$2&lt;=MASTER!$M$2), MASTER!$H$2, IF(AND(MASTER!G37&lt;&gt;"X", MASTER!G37&lt;&gt;"", MASTER!$G$2&lt;&gt;BUCKET!H37, MASTER!$F$2&lt;=MASTER!$M$2), MASTER!$G$2, IF(AND(MASTER!F37&lt;&gt;"X", MASTER!F37&lt;&gt;"", MASTER!$F$2&lt;&gt;BUCKET!H37, MASTER!$F$2&lt;=MASTER!$M$2), MASTER!$F$2, IF(AND(MASTER!E37&lt;&gt;"X", MASTER!E37&lt;&gt;"", MASTER!$E$2&lt;&gt;BUCKET!H37, MASTER!$E$2&lt;=MASTER!$M$2), MASTER!$E$2, IF(AND( MASTER!D37&lt;&gt;"", MASTER!D37&lt;&gt;BUCKET!H37), MASTER!D37, IF(AND(MASTER!C37&lt;&gt;"X", MASTER!C37&lt;&gt;""), MASTER!C37))))))))))</f>
        <v>44210</v>
      </c>
      <c r="H37" s="35">
        <f ca="1">IF(AND(MASTER!K38&lt;&gt;"X", MASTER!K38&lt;&gt;"", MASTER!$K$2&lt;=MASTER!$M$2), MASTER!$K$2, IF(AND(MASTER!J38&lt;&gt;"X", MASTER!J38&lt;&gt;"", MASTER!$J$2&lt;=MASTER!$M$2),MASTER!$J$2, IF(AND(MASTER!I38&lt;&gt;"X", MASTER!I38&lt;&gt;"", MASTER!$I$2&lt;=MASTER!$M$2),MASTER!$I$2, IF(AND(MASTER!H38&lt;&gt;"X", MASTER!H38&lt;&gt;"", MASTER!$H$2&lt;=MASTER!$M$2),MASTER!$H$2, IF(AND(MASTER!G38&lt;&gt;"X", MASTER!G38&lt;&gt;"", MASTER!$F$2&lt;=MASTER!$M$2),MASTER!$G$2, IF(AND(MASTER!F38&lt;&gt;"X", MASTER!F38&lt;&gt;"", MASTER!$F$2&lt;=MASTER!$M$2), MASTER!$F$2, IF(AND(MASTER!E38&lt;&gt;"X", MASTER!E38&lt;&gt;"", MASTER!$E$2&lt;=MASTER!$M$2),MASTER!$E$2, IF(MASTER!D38&lt;&gt;"", MASTER!D38,""))))))))</f>
        <v>44211</v>
      </c>
      <c r="I37" s="8" t="s">
        <v>16</v>
      </c>
      <c r="J37" s="27" t="b">
        <f ca="1">IFERROR(IF(H37="NEW HIRE",FALSE,IF(AND((H37-G37)&lt;=1),($P$2-H37)&lt;=1)), "")</f>
        <v>0</v>
      </c>
      <c r="K37" s="54" t="b">
        <v>0</v>
      </c>
      <c r="L37" s="30" t="str">
        <f ca="1">IFERROR(IF(AND(MASTER!$K$1=MASTER!$N$2,MASTER!K37="X"),"",IF(AND(MASTER!$J$1=MASTER!$N$2,MASTER!J37="X"),"",IF(AND(MASTER!$I$1=MASTER!$N$2,MASTER!I37="X"),"",IF(AND(MASTER!$H$1=MASTER!$N$2,MASTER!H37="X"),"",IF(AND(MASTER!$G$1=MASTER!$N$2,MASTER!G37="X"),"",IF(AND(MASTER!$F$1=MASTER!$N$2,MASTER!F37="X"),"",IF(AND(MASTER!$E$1=MASTER!$N$2,MASTER!E37="X"),"",IF(AND($Q$2&lt;&gt;D37,$Q$2&lt;&gt;E37,$Q$2&lt;&gt;F37,I37="6 to 2",J37=FALSE,K37=FALSE),B37,"")))))))), "")</f>
        <v/>
      </c>
      <c r="M37" s="34" t="str">
        <f ca="1">IFERROR(IF(AND(MASTER!$K$1=MASTER!$N$2,MASTER!K37="X"),"",IF(AND(MASTER!$J$1=MASTER!$N$2,MASTER!J37="X"),"",IF(AND(MASTER!$I$1=MASTER!$N$2,MASTER!I37="X"),"",IF(AND(MASTER!$H$1=MASTER!$N$2,MASTER!H37="X"),"",IF(AND(MASTER!$G$1=MASTER!$N$2,MASTER!G37="X"),"",IF(AND(MASTER!$F$1=MASTER!$N$2,MASTER!F37="X"),"",IF(AND(MASTER!$E$1=MASTER!$N$2,MASTER!E37="X"),"",IF(AND($Q$2&lt;&gt;D37,$Q$2&lt;&gt;E37,$Q$2&lt;&gt;F37,I37="2 to 10",J37=FALSE,K37=FALSE),B37,"")))))))), "")</f>
        <v/>
      </c>
      <c r="N37" s="44" t="str">
        <f ca="1">IFERROR(IF(AND(MASTER!$K$1=MASTER!$N$2,MASTER!K37="X"),"",IF(AND(MASTER!$J$1=MASTER!$N$2,MASTER!J37="X"),"",IF(AND(MASTER!$I$1=MASTER!$N$2,MASTER!I37="X"),"",IF(AND(MASTER!$H$1=MASTER!$N$2,MASTER!H37="X"),"",IF(AND(MASTER!$G$1=MASTER!$N$2,MASTER!G37="X"),"",IF(AND(MASTER!$F$1=MASTER!$N$2,MASTER!F37="X"),"",IF(AND(MASTER!$E$1=MASTER!$N$2,MASTER!E37="X"),"",IF(AND($Q$2&lt;&gt;D37,$Q$2&lt;&gt;E37,$Q$2&lt;&gt;F37,I37="10 to 6",J37=FALSE,K37=FALSE),B37,"")))))))), "")</f>
        <v/>
      </c>
    </row>
    <row r="38" spans="1:20" ht="16" thickBot="1" x14ac:dyDescent="0.25">
      <c r="A38">
        <v>37</v>
      </c>
      <c r="B38" s="51" t="s">
        <v>69</v>
      </c>
      <c r="C38" s="27">
        <f ca="1">IFERROR(IF(H38="NEW HIRE",100,IF($P$2-H38&lt;=100,$P$2-H38,IF($P$2-H38&gt;=365,0,))), 0)</f>
        <v>0</v>
      </c>
      <c r="D38" t="s">
        <v>5</v>
      </c>
      <c r="E38" t="s">
        <v>6</v>
      </c>
      <c r="F38" t="s">
        <v>2</v>
      </c>
      <c r="G38" s="38">
        <f ca="1">IF(AND(MASTER!K38&lt;&gt;"X",MASTER!K38&lt;&gt;"",MASTER!$K$2&lt;&gt;BUCKET!H38, MASTER!$K$2&lt;=MASTER!$M$2),MASTER!$K$2,IF(AND(MASTER!J38&lt;&gt;"X",MASTER!J38&lt;&gt;"",MASTER!$J$2&lt;&gt;BUCKET!H38, MASTER!$J$2&lt;=MASTER!$M$2),MASTER!$J$2,IF(AND(MASTER!I38&lt;&gt;"X",MASTER!I38&lt;&gt;"",MASTER!$I$2&lt;&gt;BUCKET!H38, MASTER!$I$2&lt;=MASTER!$M$2),MASTER!$I$2, IF(AND(MASTER!H38&lt;&gt;"X", MASTER!H38&lt;&gt;"", MASTER!$H$2&lt;&gt;BUCKET!H38, MASTER!$H$2&lt;=MASTER!$M$2), MASTER!$H$2, IF(AND(MASTER!G38&lt;&gt;"X", MASTER!G38&lt;&gt;"", MASTER!$G$2&lt;&gt;BUCKET!H38, MASTER!$G$2&lt;=MASTER!$M$2), MASTER!$H$2, IF(AND(MASTER!G38&lt;&gt;"X", MASTER!G38&lt;&gt;"", MASTER!$G$2&lt;&gt;BUCKET!H38, MASTER!$F$2&lt;=MASTER!$M$2), MASTER!$G$2, IF(AND(MASTER!F38&lt;&gt;"X", MASTER!F38&lt;&gt;"", MASTER!$F$2&lt;&gt;BUCKET!H38, MASTER!$F$2&lt;=MASTER!$M$2), MASTER!$F$2, IF(AND(MASTER!E38&lt;&gt;"X", MASTER!E38&lt;&gt;"", MASTER!$E$2&lt;&gt;BUCKET!H38, MASTER!$E$2&lt;=MASTER!$M$2), MASTER!$E$2, IF(AND( MASTER!D38&lt;&gt;"", MASTER!D38&lt;&gt;BUCKET!H38), MASTER!D38, IF(AND(MASTER!C38&lt;&gt;"X", MASTER!C38&lt;&gt;""), MASTER!C38))))))))))</f>
        <v>44211</v>
      </c>
      <c r="H38" s="35">
        <f ca="1">IF(AND(MASTER!K39&lt;&gt;"X", MASTER!K39&lt;&gt;"", MASTER!$K$2&lt;=MASTER!$M$2), MASTER!$K$2, IF(AND(MASTER!J39&lt;&gt;"X", MASTER!J39&lt;&gt;"", MASTER!$J$2&lt;=MASTER!$M$2),MASTER!$J$2, IF(AND(MASTER!I39&lt;&gt;"X", MASTER!I39&lt;&gt;"", MASTER!$I$2&lt;=MASTER!$M$2),MASTER!$I$2, IF(AND(MASTER!H39&lt;&gt;"X", MASTER!H39&lt;&gt;"", MASTER!$H$2&lt;=MASTER!$M$2),MASTER!$H$2, IF(AND(MASTER!G39&lt;&gt;"X", MASTER!G39&lt;&gt;"", MASTER!$F$2&lt;=MASTER!$M$2),MASTER!$G$2, IF(AND(MASTER!F39&lt;&gt;"X", MASTER!F39&lt;&gt;"", MASTER!$F$2&lt;=MASTER!$M$2), MASTER!$F$2, IF(AND(MASTER!E39&lt;&gt;"X", MASTER!E39&lt;&gt;"", MASTER!$E$2&lt;=MASTER!$M$2),MASTER!$E$2, IF(MASTER!D39&lt;&gt;"", MASTER!D39,""))))))))</f>
        <v>44212</v>
      </c>
      <c r="I38" s="8" t="s">
        <v>12</v>
      </c>
      <c r="J38" s="27" t="b">
        <f ca="1">IFERROR(IF(H38="NEW HIRE",FALSE,IF(AND((H38-G38)&lt;=1),($P$2-H38)&lt;=1)), "")</f>
        <v>0</v>
      </c>
      <c r="K38" s="54" t="b">
        <v>0</v>
      </c>
      <c r="L38" s="30" t="str">
        <f ca="1">IFERROR(IF(AND(MASTER!$K$1=MASTER!$N$2,MASTER!K38="X"),"",IF(AND(MASTER!$J$1=MASTER!$N$2,MASTER!J38="X"),"",IF(AND(MASTER!$I$1=MASTER!$N$2,MASTER!I38="X"),"",IF(AND(MASTER!$H$1=MASTER!$N$2,MASTER!H38="X"),"",IF(AND(MASTER!$G$1=MASTER!$N$2,MASTER!G38="X"),"",IF(AND(MASTER!$F$1=MASTER!$N$2,MASTER!F38="X"),"",IF(AND(MASTER!$E$1=MASTER!$N$2,MASTER!E38="X"),"",IF(AND($Q$2&lt;&gt;D38,$Q$2&lt;&gt;E38,$Q$2&lt;&gt;F38,I38="6 to 2",J38=FALSE,K38=FALSE),B38,"")))))))), "")</f>
        <v/>
      </c>
      <c r="M38" s="34" t="str">
        <f ca="1">IFERROR(IF(AND(MASTER!$K$1=MASTER!$N$2,MASTER!K38="X"),"",IF(AND(MASTER!$J$1=MASTER!$N$2,MASTER!J38="X"),"",IF(AND(MASTER!$I$1=MASTER!$N$2,MASTER!I38="X"),"",IF(AND(MASTER!$H$1=MASTER!$N$2,MASTER!H38="X"),"",IF(AND(MASTER!$G$1=MASTER!$N$2,MASTER!G38="X"),"",IF(AND(MASTER!$F$1=MASTER!$N$2,MASTER!F38="X"),"",IF(AND(MASTER!$E$1=MASTER!$N$2,MASTER!E38="X"),"",IF(AND($Q$2&lt;&gt;D38,$Q$2&lt;&gt;E38,$Q$2&lt;&gt;F38,I38="2 to 10",J38=FALSE,K38=FALSE),B38,"")))))))), "")</f>
        <v/>
      </c>
      <c r="N38" s="44" t="str">
        <f ca="1">IFERROR(IF(AND(MASTER!$K$1=MASTER!$N$2,MASTER!K38="X"),"",IF(AND(MASTER!$J$1=MASTER!$N$2,MASTER!J38="X"),"",IF(AND(MASTER!$I$1=MASTER!$N$2,MASTER!I38="X"),"",IF(AND(MASTER!$H$1=MASTER!$N$2,MASTER!H38="X"),"",IF(AND(MASTER!$G$1=MASTER!$N$2,MASTER!G38="X"),"",IF(AND(MASTER!$F$1=MASTER!$N$2,MASTER!F38="X"),"",IF(AND(MASTER!$E$1=MASTER!$N$2,MASTER!E38="X"),"",IF(AND($Q$2&lt;&gt;D38,$Q$2&lt;&gt;E38,$Q$2&lt;&gt;F38,I38="10 to 6",J38=FALSE,K38=FALSE),B38,"")))))))), "")</f>
        <v/>
      </c>
    </row>
    <row r="39" spans="1:20" ht="16" thickBot="1" x14ac:dyDescent="0.25">
      <c r="A39">
        <v>38</v>
      </c>
      <c r="B39" s="51" t="s">
        <v>70</v>
      </c>
      <c r="C39" s="27">
        <f ca="1">IFERROR(IF(H39="NEW HIRE",100,IF($P$2-H39&lt;=100,$P$2-H39,IF($P$2-H39&gt;=365,0,))), 0)</f>
        <v>0</v>
      </c>
      <c r="D39" t="s">
        <v>7</v>
      </c>
      <c r="E39" t="s">
        <v>8</v>
      </c>
      <c r="F39" t="s">
        <v>3</v>
      </c>
      <c r="G39" s="38">
        <f ca="1">IF(AND(MASTER!K39&lt;&gt;"X",MASTER!K39&lt;&gt;"",MASTER!$K$2&lt;&gt;BUCKET!H39, MASTER!$K$2&lt;=MASTER!$M$2),MASTER!$K$2,IF(AND(MASTER!J39&lt;&gt;"X",MASTER!J39&lt;&gt;"",MASTER!$J$2&lt;&gt;BUCKET!H39, MASTER!$J$2&lt;=MASTER!$M$2),MASTER!$J$2,IF(AND(MASTER!I39&lt;&gt;"X",MASTER!I39&lt;&gt;"",MASTER!$I$2&lt;&gt;BUCKET!H39, MASTER!$I$2&lt;=MASTER!$M$2),MASTER!$I$2, IF(AND(MASTER!H39&lt;&gt;"X", MASTER!H39&lt;&gt;"", MASTER!$H$2&lt;&gt;BUCKET!H39, MASTER!$H$2&lt;=MASTER!$M$2), MASTER!$H$2, IF(AND(MASTER!G39&lt;&gt;"X", MASTER!G39&lt;&gt;"", MASTER!$G$2&lt;&gt;BUCKET!H39, MASTER!$G$2&lt;=MASTER!$M$2), MASTER!$H$2, IF(AND(MASTER!G39&lt;&gt;"X", MASTER!G39&lt;&gt;"", MASTER!$G$2&lt;&gt;BUCKET!H39, MASTER!$F$2&lt;=MASTER!$M$2), MASTER!$G$2, IF(AND(MASTER!F39&lt;&gt;"X", MASTER!F39&lt;&gt;"", MASTER!$F$2&lt;&gt;BUCKET!H39, MASTER!$F$2&lt;=MASTER!$M$2), MASTER!$F$2, IF(AND(MASTER!E39&lt;&gt;"X", MASTER!E39&lt;&gt;"", MASTER!$E$2&lt;&gt;BUCKET!H39, MASTER!$E$2&lt;=MASTER!$M$2), MASTER!$E$2, IF(AND( MASTER!D39&lt;&gt;"", MASTER!D39&lt;&gt;BUCKET!H39), MASTER!D39, IF(AND(MASTER!C39&lt;&gt;"X", MASTER!C39&lt;&gt;""), MASTER!C39))))))))))</f>
        <v>44212</v>
      </c>
      <c r="H39" s="35">
        <f ca="1">IF(AND(MASTER!K40&lt;&gt;"X", MASTER!K40&lt;&gt;"", MASTER!$K$2&lt;=MASTER!$M$2), MASTER!$K$2, IF(AND(MASTER!J40&lt;&gt;"X", MASTER!J40&lt;&gt;"", MASTER!$J$2&lt;=MASTER!$M$2),MASTER!$J$2, IF(AND(MASTER!I40&lt;&gt;"X", MASTER!I40&lt;&gt;"", MASTER!$I$2&lt;=MASTER!$M$2),MASTER!$I$2, IF(AND(MASTER!H40&lt;&gt;"X", MASTER!H40&lt;&gt;"", MASTER!$H$2&lt;=MASTER!$M$2),MASTER!$H$2, IF(AND(MASTER!G40&lt;&gt;"X", MASTER!G40&lt;&gt;"", MASTER!$F$2&lt;=MASTER!$M$2),MASTER!$G$2, IF(AND(MASTER!F40&lt;&gt;"X", MASTER!F40&lt;&gt;"", MASTER!$F$2&lt;=MASTER!$M$2), MASTER!$F$2, IF(AND(MASTER!E40&lt;&gt;"X", MASTER!E40&lt;&gt;"", MASTER!$E$2&lt;=MASTER!$M$2),MASTER!$E$2, IF(MASTER!D40&lt;&gt;"", MASTER!D40,""))))))))</f>
        <v>44213</v>
      </c>
      <c r="I39" s="8" t="s">
        <v>13</v>
      </c>
      <c r="J39" s="27" t="b">
        <f ca="1">IFERROR(IF(H39="NEW HIRE",FALSE,IF(AND((H39-G39)&lt;=1),($P$2-H39)&lt;=1)), "")</f>
        <v>0</v>
      </c>
      <c r="K39" s="54" t="b">
        <v>0</v>
      </c>
      <c r="L39" s="30" t="str">
        <f ca="1">IFERROR(IF(AND(MASTER!$K$1=MASTER!$N$2,MASTER!K39="X"),"",IF(AND(MASTER!$J$1=MASTER!$N$2,MASTER!J39="X"),"",IF(AND(MASTER!$I$1=MASTER!$N$2,MASTER!I39="X"),"",IF(AND(MASTER!$H$1=MASTER!$N$2,MASTER!H39="X"),"",IF(AND(MASTER!$G$1=MASTER!$N$2,MASTER!G39="X"),"",IF(AND(MASTER!$F$1=MASTER!$N$2,MASTER!F39="X"),"",IF(AND(MASTER!$E$1=MASTER!$N$2,MASTER!E39="X"),"",IF(AND($Q$2&lt;&gt;D39,$Q$2&lt;&gt;E39,$Q$2&lt;&gt;F39,I39="6 to 2",J39=FALSE,K39=FALSE),B39,"")))))))), "")</f>
        <v>Rowan White</v>
      </c>
      <c r="M39" s="34" t="str">
        <f ca="1">IFERROR(IF(AND(MASTER!$K$1=MASTER!$N$2,MASTER!K39="X"),"",IF(AND(MASTER!$J$1=MASTER!$N$2,MASTER!J39="X"),"",IF(AND(MASTER!$I$1=MASTER!$N$2,MASTER!I39="X"),"",IF(AND(MASTER!$H$1=MASTER!$N$2,MASTER!H39="X"),"",IF(AND(MASTER!$G$1=MASTER!$N$2,MASTER!G39="X"),"",IF(AND(MASTER!$F$1=MASTER!$N$2,MASTER!F39="X"),"",IF(AND(MASTER!$E$1=MASTER!$N$2,MASTER!E39="X"),"",IF(AND($Q$2&lt;&gt;D39,$Q$2&lt;&gt;E39,$Q$2&lt;&gt;F39,I39="2 to 10",J39=FALSE,K39=FALSE),B39,"")))))))), "")</f>
        <v/>
      </c>
      <c r="N39" s="44" t="str">
        <f ca="1">IFERROR(IF(AND(MASTER!$K$1=MASTER!$N$2,MASTER!K39="X"),"",IF(AND(MASTER!$J$1=MASTER!$N$2,MASTER!J39="X"),"",IF(AND(MASTER!$I$1=MASTER!$N$2,MASTER!I39="X"),"",IF(AND(MASTER!$H$1=MASTER!$N$2,MASTER!H39="X"),"",IF(AND(MASTER!$G$1=MASTER!$N$2,MASTER!G39="X"),"",IF(AND(MASTER!$F$1=MASTER!$N$2,MASTER!F39="X"),"",IF(AND(MASTER!$E$1=MASTER!$N$2,MASTER!E39="X"),"",IF(AND($Q$2&lt;&gt;D39,$Q$2&lt;&gt;E39,$Q$2&lt;&gt;F39,I39="10 to 6",J39=FALSE,K39=FALSE),B39,"")))))))), "")</f>
        <v/>
      </c>
    </row>
    <row r="40" spans="1:20" ht="16" thickBot="1" x14ac:dyDescent="0.25">
      <c r="A40">
        <v>39</v>
      </c>
      <c r="B40" s="51" t="s">
        <v>71</v>
      </c>
      <c r="C40" s="27">
        <f ca="1">IFERROR(IF(H40="NEW HIRE",100,IF($P$2-H40&lt;=100,$P$2-H40,IF($P$2-H40&gt;=365,0,))), 0)</f>
        <v>0</v>
      </c>
      <c r="D40" t="s">
        <v>3</v>
      </c>
      <c r="E40" t="s">
        <v>4</v>
      </c>
      <c r="F40" t="s">
        <v>5</v>
      </c>
      <c r="G40" s="38">
        <f ca="1">IF(AND(MASTER!K40&lt;&gt;"X",MASTER!K40&lt;&gt;"",MASTER!$K$2&lt;&gt;BUCKET!H40, MASTER!$K$2&lt;=MASTER!$M$2),MASTER!$K$2,IF(AND(MASTER!J40&lt;&gt;"X",MASTER!J40&lt;&gt;"",MASTER!$J$2&lt;&gt;BUCKET!H40, MASTER!$J$2&lt;=MASTER!$M$2),MASTER!$J$2,IF(AND(MASTER!I40&lt;&gt;"X",MASTER!I40&lt;&gt;"",MASTER!$I$2&lt;&gt;BUCKET!H40, MASTER!$I$2&lt;=MASTER!$M$2),MASTER!$I$2, IF(AND(MASTER!H40&lt;&gt;"X", MASTER!H40&lt;&gt;"", MASTER!$H$2&lt;&gt;BUCKET!H40, MASTER!$H$2&lt;=MASTER!$M$2), MASTER!$H$2, IF(AND(MASTER!G40&lt;&gt;"X", MASTER!G40&lt;&gt;"", MASTER!$G$2&lt;&gt;BUCKET!H40, MASTER!$G$2&lt;=MASTER!$M$2), MASTER!$H$2, IF(AND(MASTER!G40&lt;&gt;"X", MASTER!G40&lt;&gt;"", MASTER!$G$2&lt;&gt;BUCKET!H40, MASTER!$F$2&lt;=MASTER!$M$2), MASTER!$G$2, IF(AND(MASTER!F40&lt;&gt;"X", MASTER!F40&lt;&gt;"", MASTER!$F$2&lt;&gt;BUCKET!H40, MASTER!$F$2&lt;=MASTER!$M$2), MASTER!$F$2, IF(AND(MASTER!E40&lt;&gt;"X", MASTER!E40&lt;&gt;"", MASTER!$E$2&lt;&gt;BUCKET!H40, MASTER!$E$2&lt;=MASTER!$M$2), MASTER!$E$2, IF(AND( MASTER!D40&lt;&gt;"", MASTER!D40&lt;&gt;BUCKET!H40), MASTER!D40, IF(AND(MASTER!C40&lt;&gt;"X", MASTER!C40&lt;&gt;""), MASTER!C40))))))))))</f>
        <v>44213</v>
      </c>
      <c r="H40" s="35">
        <f ca="1">IF(AND(MASTER!K41&lt;&gt;"X", MASTER!K41&lt;&gt;"", MASTER!$K$2&lt;=MASTER!$M$2), MASTER!$K$2, IF(AND(MASTER!J41&lt;&gt;"X", MASTER!J41&lt;&gt;"", MASTER!$J$2&lt;=MASTER!$M$2),MASTER!$J$2, IF(AND(MASTER!I41&lt;&gt;"X", MASTER!I41&lt;&gt;"", MASTER!$I$2&lt;=MASTER!$M$2),MASTER!$I$2, IF(AND(MASTER!H41&lt;&gt;"X", MASTER!H41&lt;&gt;"", MASTER!$H$2&lt;=MASTER!$M$2),MASTER!$H$2, IF(AND(MASTER!G41&lt;&gt;"X", MASTER!G41&lt;&gt;"", MASTER!$F$2&lt;=MASTER!$M$2),MASTER!$G$2, IF(AND(MASTER!F41&lt;&gt;"X", MASTER!F41&lt;&gt;"", MASTER!$F$2&lt;=MASTER!$M$2), MASTER!$F$2, IF(AND(MASTER!E41&lt;&gt;"X", MASTER!E41&lt;&gt;"", MASTER!$E$2&lt;=MASTER!$M$2),MASTER!$E$2, IF(MASTER!D41&lt;&gt;"", MASTER!D41,""))))))))</f>
        <v>44214</v>
      </c>
      <c r="I40" s="8" t="s">
        <v>13</v>
      </c>
      <c r="J40" s="27" t="b">
        <f ca="1">IFERROR(IF(H40="NEW HIRE",FALSE,IF(AND((H40-G40)&lt;=1),($P$2-H40)&lt;=1)), "")</f>
        <v>0</v>
      </c>
      <c r="K40" s="54" t="b">
        <v>0</v>
      </c>
      <c r="L40" s="30" t="str">
        <f ca="1">IFERROR(IF(AND(MASTER!$K$1=MASTER!$N$2,MASTER!K40="X"),"",IF(AND(MASTER!$J$1=MASTER!$N$2,MASTER!J40="X"),"",IF(AND(MASTER!$I$1=MASTER!$N$2,MASTER!I40="X"),"",IF(AND(MASTER!$H$1=MASTER!$N$2,MASTER!H40="X"),"",IF(AND(MASTER!$G$1=MASTER!$N$2,MASTER!G40="X"),"",IF(AND(MASTER!$F$1=MASTER!$N$2,MASTER!F40="X"),"",IF(AND(MASTER!$E$1=MASTER!$N$2,MASTER!E40="X"),"",IF(AND($Q$2&lt;&gt;D40,$Q$2&lt;&gt;E40,$Q$2&lt;&gt;F40,I40="6 to 2",J40=FALSE,K40=FALSE),B40,"")))))))), "")</f>
        <v>Riley Jones</v>
      </c>
      <c r="M40" s="34" t="str">
        <f ca="1">IFERROR(IF(AND(MASTER!$K$1=MASTER!$N$2,MASTER!K40="X"),"",IF(AND(MASTER!$J$1=MASTER!$N$2,MASTER!J40="X"),"",IF(AND(MASTER!$I$1=MASTER!$N$2,MASTER!I40="X"),"",IF(AND(MASTER!$H$1=MASTER!$N$2,MASTER!H40="X"),"",IF(AND(MASTER!$G$1=MASTER!$N$2,MASTER!G40="X"),"",IF(AND(MASTER!$F$1=MASTER!$N$2,MASTER!F40="X"),"",IF(AND(MASTER!$E$1=MASTER!$N$2,MASTER!E40="X"),"",IF(AND($Q$2&lt;&gt;D40,$Q$2&lt;&gt;E40,$Q$2&lt;&gt;F40,I40="2 to 10",J40=FALSE,K40=FALSE),B40,"")))))))), "")</f>
        <v/>
      </c>
      <c r="N40" s="44" t="str">
        <f ca="1">IFERROR(IF(AND(MASTER!$K$1=MASTER!$N$2,MASTER!K40="X"),"",IF(AND(MASTER!$J$1=MASTER!$N$2,MASTER!J40="X"),"",IF(AND(MASTER!$I$1=MASTER!$N$2,MASTER!I40="X"),"",IF(AND(MASTER!$H$1=MASTER!$N$2,MASTER!H40="X"),"",IF(AND(MASTER!$G$1=MASTER!$N$2,MASTER!G40="X"),"",IF(AND(MASTER!$F$1=MASTER!$N$2,MASTER!F40="X"),"",IF(AND(MASTER!$E$1=MASTER!$N$2,MASTER!E40="X"),"",IF(AND($Q$2&lt;&gt;D40,$Q$2&lt;&gt;E40,$Q$2&lt;&gt;F40,I40="10 to 6",J40=FALSE,K40=FALSE),B40,"")))))))), "")</f>
        <v/>
      </c>
    </row>
    <row r="41" spans="1:20" ht="16" thickBot="1" x14ac:dyDescent="0.25">
      <c r="A41">
        <v>40</v>
      </c>
      <c r="B41" s="51" t="s">
        <v>72</v>
      </c>
      <c r="C41" s="27">
        <f ca="1">IFERROR(IF(H41="NEW HIRE",100,IF($P$2-H41&lt;=100,$P$2-H41,IF($P$2-H41&gt;=365,0,))), 0)</f>
        <v>0</v>
      </c>
      <c r="D41" t="s">
        <v>4</v>
      </c>
      <c r="E41" t="s">
        <v>5</v>
      </c>
      <c r="F41" t="s">
        <v>6</v>
      </c>
      <c r="G41" s="38">
        <f ca="1">IF(AND(MASTER!K41&lt;&gt;"X",MASTER!K41&lt;&gt;"",MASTER!$K$2&lt;&gt;BUCKET!H41, MASTER!$K$2&lt;=MASTER!$M$2),MASTER!$K$2,IF(AND(MASTER!J41&lt;&gt;"X",MASTER!J41&lt;&gt;"",MASTER!$J$2&lt;&gt;BUCKET!H41, MASTER!$J$2&lt;=MASTER!$M$2),MASTER!$J$2,IF(AND(MASTER!I41&lt;&gt;"X",MASTER!I41&lt;&gt;"",MASTER!$I$2&lt;&gt;BUCKET!H41, MASTER!$I$2&lt;=MASTER!$M$2),MASTER!$I$2, IF(AND(MASTER!H41&lt;&gt;"X", MASTER!H41&lt;&gt;"", MASTER!$H$2&lt;&gt;BUCKET!H41, MASTER!$H$2&lt;=MASTER!$M$2), MASTER!$H$2, IF(AND(MASTER!G41&lt;&gt;"X", MASTER!G41&lt;&gt;"", MASTER!$G$2&lt;&gt;BUCKET!H41, MASTER!$G$2&lt;=MASTER!$M$2), MASTER!$H$2, IF(AND(MASTER!G41&lt;&gt;"X", MASTER!G41&lt;&gt;"", MASTER!$G$2&lt;&gt;BUCKET!H41, MASTER!$F$2&lt;=MASTER!$M$2), MASTER!$G$2, IF(AND(MASTER!F41&lt;&gt;"X", MASTER!F41&lt;&gt;"", MASTER!$F$2&lt;&gt;BUCKET!H41, MASTER!$F$2&lt;=MASTER!$M$2), MASTER!$F$2, IF(AND(MASTER!E41&lt;&gt;"X", MASTER!E41&lt;&gt;"", MASTER!$E$2&lt;&gt;BUCKET!H41, MASTER!$E$2&lt;=MASTER!$M$2), MASTER!$E$2, IF(AND( MASTER!D41&lt;&gt;"", MASTER!D41&lt;&gt;BUCKET!H41), MASTER!D41, IF(AND(MASTER!C41&lt;&gt;"X", MASTER!C41&lt;&gt;""), MASTER!C41))))))))))</f>
        <v>44214</v>
      </c>
      <c r="H41" s="35">
        <f ca="1">IF(AND(MASTER!K42&lt;&gt;"X", MASTER!K42&lt;&gt;"", MASTER!$K$2&lt;=MASTER!$M$2), MASTER!$K$2, IF(AND(MASTER!J42&lt;&gt;"X", MASTER!J42&lt;&gt;"", MASTER!$J$2&lt;=MASTER!$M$2),MASTER!$J$2, IF(AND(MASTER!I42&lt;&gt;"X", MASTER!I42&lt;&gt;"", MASTER!$I$2&lt;=MASTER!$M$2),MASTER!$I$2, IF(AND(MASTER!H42&lt;&gt;"X", MASTER!H42&lt;&gt;"", MASTER!$H$2&lt;=MASTER!$M$2),MASTER!$H$2, IF(AND(MASTER!G42&lt;&gt;"X", MASTER!G42&lt;&gt;"", MASTER!$F$2&lt;=MASTER!$M$2),MASTER!$G$2, IF(AND(MASTER!F42&lt;&gt;"X", MASTER!F42&lt;&gt;"", MASTER!$F$2&lt;=MASTER!$M$2), MASTER!$F$2, IF(AND(MASTER!E42&lt;&gt;"X", MASTER!E42&lt;&gt;"", MASTER!$E$2&lt;=MASTER!$M$2),MASTER!$E$2, IF(MASTER!D42&lt;&gt;"", MASTER!D42,""))))))))</f>
        <v>44215</v>
      </c>
      <c r="I41" s="8" t="s">
        <v>12</v>
      </c>
      <c r="J41" s="27" t="b">
        <f ca="1">IFERROR(IF(H41="NEW HIRE",FALSE,IF(AND((H41-G41)&lt;=1),($P$2-H41)&lt;=1)), "")</f>
        <v>0</v>
      </c>
      <c r="K41" s="54" t="b">
        <v>0</v>
      </c>
      <c r="L41" s="30" t="str">
        <f ca="1">IFERROR(IF(AND(MASTER!$K$1=MASTER!$N$2,MASTER!K41="X"),"",IF(AND(MASTER!$J$1=MASTER!$N$2,MASTER!J41="X"),"",IF(AND(MASTER!$I$1=MASTER!$N$2,MASTER!I41="X"),"",IF(AND(MASTER!$H$1=MASTER!$N$2,MASTER!H41="X"),"",IF(AND(MASTER!$G$1=MASTER!$N$2,MASTER!G41="X"),"",IF(AND(MASTER!$F$1=MASTER!$N$2,MASTER!F41="X"),"",IF(AND(MASTER!$E$1=MASTER!$N$2,MASTER!E41="X"),"",IF(AND($Q$2&lt;&gt;D41,$Q$2&lt;&gt;E41,$Q$2&lt;&gt;F41,I41="6 to 2",J41=FALSE,K41=FALSE),B41,"")))))))), "")</f>
        <v/>
      </c>
      <c r="M41" s="34" t="str">
        <f ca="1">IFERROR(IF(AND(MASTER!$K$1=MASTER!$N$2,MASTER!K41="X"),"",IF(AND(MASTER!$J$1=MASTER!$N$2,MASTER!J41="X"),"",IF(AND(MASTER!$I$1=MASTER!$N$2,MASTER!I41="X"),"",IF(AND(MASTER!$H$1=MASTER!$N$2,MASTER!H41="X"),"",IF(AND(MASTER!$G$1=MASTER!$N$2,MASTER!G41="X"),"",IF(AND(MASTER!$F$1=MASTER!$N$2,MASTER!F41="X"),"",IF(AND(MASTER!$E$1=MASTER!$N$2,MASTER!E41="X"),"",IF(AND($Q$2&lt;&gt;D41,$Q$2&lt;&gt;E41,$Q$2&lt;&gt;F41,I41="2 to 10",J41=FALSE,K41=FALSE),B41,"")))))))), "")</f>
        <v/>
      </c>
      <c r="N41" s="44" t="str">
        <f ca="1">IFERROR(IF(AND(MASTER!$K$1=MASTER!$N$2,MASTER!K41="X"),"",IF(AND(MASTER!$J$1=MASTER!$N$2,MASTER!J41="X"),"",IF(AND(MASTER!$I$1=MASTER!$N$2,MASTER!I41="X"),"",IF(AND(MASTER!$H$1=MASTER!$N$2,MASTER!H41="X"),"",IF(AND(MASTER!$G$1=MASTER!$N$2,MASTER!G41="X"),"",IF(AND(MASTER!$F$1=MASTER!$N$2,MASTER!F41="X"),"",IF(AND(MASTER!$E$1=MASTER!$N$2,MASTER!E41="X"),"",IF(AND($Q$2&lt;&gt;D41,$Q$2&lt;&gt;E41,$Q$2&lt;&gt;F41,I41="10 to 6",J41=FALSE,K41=FALSE),B41,"")))))))), "")</f>
        <v/>
      </c>
    </row>
    <row r="42" spans="1:20" ht="16" thickBot="1" x14ac:dyDescent="0.25">
      <c r="A42">
        <v>41</v>
      </c>
      <c r="B42" s="51" t="s">
        <v>73</v>
      </c>
      <c r="C42" s="27">
        <f ca="1">IFERROR(IF(H42="NEW HIRE",100,IF($P$2-H42&lt;=100,$P$2-H42,IF($P$2-H42&gt;=365,0,))), 0)</f>
        <v>0</v>
      </c>
      <c r="D42" t="s">
        <v>6</v>
      </c>
      <c r="E42" t="s">
        <v>2</v>
      </c>
      <c r="F42" t="s">
        <v>7</v>
      </c>
      <c r="G42" s="38">
        <f ca="1">IF(AND(MASTER!K42&lt;&gt;"X",MASTER!K42&lt;&gt;"",MASTER!$K$2&lt;&gt;BUCKET!H42, MASTER!$K$2&lt;=MASTER!$M$2),MASTER!$K$2,IF(AND(MASTER!J42&lt;&gt;"X",MASTER!J42&lt;&gt;"",MASTER!$J$2&lt;&gt;BUCKET!H42, MASTER!$J$2&lt;=MASTER!$M$2),MASTER!$J$2,IF(AND(MASTER!I42&lt;&gt;"X",MASTER!I42&lt;&gt;"",MASTER!$I$2&lt;&gt;BUCKET!H42, MASTER!$I$2&lt;=MASTER!$M$2),MASTER!$I$2, IF(AND(MASTER!H42&lt;&gt;"X", MASTER!H42&lt;&gt;"", MASTER!$H$2&lt;&gt;BUCKET!H42, MASTER!$H$2&lt;=MASTER!$M$2), MASTER!$H$2, IF(AND(MASTER!G42&lt;&gt;"X", MASTER!G42&lt;&gt;"", MASTER!$G$2&lt;&gt;BUCKET!H42, MASTER!$G$2&lt;=MASTER!$M$2), MASTER!$H$2, IF(AND(MASTER!G42&lt;&gt;"X", MASTER!G42&lt;&gt;"", MASTER!$G$2&lt;&gt;BUCKET!H42, MASTER!$F$2&lt;=MASTER!$M$2), MASTER!$G$2, IF(AND(MASTER!F42&lt;&gt;"X", MASTER!F42&lt;&gt;"", MASTER!$F$2&lt;&gt;BUCKET!H42, MASTER!$F$2&lt;=MASTER!$M$2), MASTER!$F$2, IF(AND(MASTER!E42&lt;&gt;"X", MASTER!E42&lt;&gt;"", MASTER!$E$2&lt;&gt;BUCKET!H42, MASTER!$E$2&lt;=MASTER!$M$2), MASTER!$E$2, IF(AND( MASTER!D42&lt;&gt;"", MASTER!D42&lt;&gt;BUCKET!H42), MASTER!D42, IF(AND(MASTER!C42&lt;&gt;"X", MASTER!C42&lt;&gt;""), MASTER!C42))))))))))</f>
        <v>44215</v>
      </c>
      <c r="H42" s="35">
        <f ca="1">IF(AND(MASTER!K43&lt;&gt;"X", MASTER!K43&lt;&gt;"", MASTER!$K$2&lt;=MASTER!$M$2), MASTER!$K$2, IF(AND(MASTER!J43&lt;&gt;"X", MASTER!J43&lt;&gt;"", MASTER!$J$2&lt;=MASTER!$M$2),MASTER!$J$2, IF(AND(MASTER!I43&lt;&gt;"X", MASTER!I43&lt;&gt;"", MASTER!$I$2&lt;=MASTER!$M$2),MASTER!$I$2, IF(AND(MASTER!H43&lt;&gt;"X", MASTER!H43&lt;&gt;"", MASTER!$H$2&lt;=MASTER!$M$2),MASTER!$H$2, IF(AND(MASTER!G43&lt;&gt;"X", MASTER!G43&lt;&gt;"", MASTER!$F$2&lt;=MASTER!$M$2),MASTER!$G$2, IF(AND(MASTER!F43&lt;&gt;"X", MASTER!F43&lt;&gt;"", MASTER!$F$2&lt;=MASTER!$M$2), MASTER!$F$2, IF(AND(MASTER!E43&lt;&gt;"X", MASTER!E43&lt;&gt;"", MASTER!$E$2&lt;=MASTER!$M$2),MASTER!$E$2, IF(MASTER!D43&lt;&gt;"", MASTER!D43,""))))))))</f>
        <v>44216</v>
      </c>
      <c r="I42" s="8" t="s">
        <v>12</v>
      </c>
      <c r="J42" s="27" t="b">
        <f ca="1">IFERROR(IF(H42="NEW HIRE",FALSE,IF(AND((H42-G42)&lt;=1),($P$2-H42)&lt;=1)), "")</f>
        <v>0</v>
      </c>
      <c r="K42" s="54" t="b">
        <v>0</v>
      </c>
      <c r="L42" s="30" t="str">
        <f ca="1">IFERROR(IF(AND(MASTER!$K$1=MASTER!$N$2,MASTER!K42="X"),"",IF(AND(MASTER!$J$1=MASTER!$N$2,MASTER!J42="X"),"",IF(AND(MASTER!$I$1=MASTER!$N$2,MASTER!I42="X"),"",IF(AND(MASTER!$H$1=MASTER!$N$2,MASTER!H42="X"),"",IF(AND(MASTER!$G$1=MASTER!$N$2,MASTER!G42="X"),"",IF(AND(MASTER!$F$1=MASTER!$N$2,MASTER!F42="X"),"",IF(AND(MASTER!$E$1=MASTER!$N$2,MASTER!E42="X"),"",IF(AND($Q$2&lt;&gt;D42,$Q$2&lt;&gt;E42,$Q$2&lt;&gt;F42,I42="6 to 2",J42=FALSE,K42=FALSE),B42,"")))))))), "")</f>
        <v/>
      </c>
      <c r="M42" s="34" t="str">
        <f ca="1">IFERROR(IF(AND(MASTER!$K$1=MASTER!$N$2,MASTER!K42="X"),"",IF(AND(MASTER!$J$1=MASTER!$N$2,MASTER!J42="X"),"",IF(AND(MASTER!$I$1=MASTER!$N$2,MASTER!I42="X"),"",IF(AND(MASTER!$H$1=MASTER!$N$2,MASTER!H42="X"),"",IF(AND(MASTER!$G$1=MASTER!$N$2,MASTER!G42="X"),"",IF(AND(MASTER!$F$1=MASTER!$N$2,MASTER!F42="X"),"",IF(AND(MASTER!$E$1=MASTER!$N$2,MASTER!E42="X"),"",IF(AND($Q$2&lt;&gt;D42,$Q$2&lt;&gt;E42,$Q$2&lt;&gt;F42,I42="2 to 10",J42=FALSE,K42=FALSE),B42,"")))))))), "")</f>
        <v/>
      </c>
      <c r="N42" s="44" t="str">
        <f ca="1">IFERROR(IF(AND(MASTER!$K$1=MASTER!$N$2,MASTER!K42="X"),"",IF(AND(MASTER!$J$1=MASTER!$N$2,MASTER!J42="X"),"",IF(AND(MASTER!$I$1=MASTER!$N$2,MASTER!I42="X"),"",IF(AND(MASTER!$H$1=MASTER!$N$2,MASTER!H42="X"),"",IF(AND(MASTER!$G$1=MASTER!$N$2,MASTER!G42="X"),"",IF(AND(MASTER!$F$1=MASTER!$N$2,MASTER!F42="X"),"",IF(AND(MASTER!$E$1=MASTER!$N$2,MASTER!E42="X"),"",IF(AND($Q$2&lt;&gt;D42,$Q$2&lt;&gt;E42,$Q$2&lt;&gt;F42,I42="10 to 6",J42=FALSE,K42=FALSE),B42,"")))))))), "")</f>
        <v/>
      </c>
    </row>
    <row r="43" spans="1:20" ht="16" thickBot="1" x14ac:dyDescent="0.25">
      <c r="A43">
        <v>42</v>
      </c>
      <c r="B43" s="51" t="s">
        <v>74</v>
      </c>
      <c r="C43" s="27">
        <f ca="1">IFERROR(IF(H43="NEW HIRE",100,IF($P$2-H43&lt;=100,$P$2-H43,IF($P$2-H43&gt;=365,0,))), 0)</f>
        <v>0</v>
      </c>
      <c r="D43" t="s">
        <v>3</v>
      </c>
      <c r="E43" t="s">
        <v>4</v>
      </c>
      <c r="F43" t="s">
        <v>5</v>
      </c>
      <c r="G43" s="38">
        <f ca="1">IF(AND(MASTER!K43&lt;&gt;"X",MASTER!K43&lt;&gt;"",MASTER!$K$2&lt;&gt;BUCKET!H43, MASTER!$K$2&lt;=MASTER!$M$2),MASTER!$K$2,IF(AND(MASTER!J43&lt;&gt;"X",MASTER!J43&lt;&gt;"",MASTER!$J$2&lt;&gt;BUCKET!H43, MASTER!$J$2&lt;=MASTER!$M$2),MASTER!$J$2,IF(AND(MASTER!I43&lt;&gt;"X",MASTER!I43&lt;&gt;"",MASTER!$I$2&lt;&gt;BUCKET!H43, MASTER!$I$2&lt;=MASTER!$M$2),MASTER!$I$2, IF(AND(MASTER!H43&lt;&gt;"X", MASTER!H43&lt;&gt;"", MASTER!$H$2&lt;&gt;BUCKET!H43, MASTER!$H$2&lt;=MASTER!$M$2), MASTER!$H$2, IF(AND(MASTER!G43&lt;&gt;"X", MASTER!G43&lt;&gt;"", MASTER!$G$2&lt;&gt;BUCKET!H43, MASTER!$G$2&lt;=MASTER!$M$2), MASTER!$H$2, IF(AND(MASTER!G43&lt;&gt;"X", MASTER!G43&lt;&gt;"", MASTER!$G$2&lt;&gt;BUCKET!H43, MASTER!$F$2&lt;=MASTER!$M$2), MASTER!$G$2, IF(AND(MASTER!F43&lt;&gt;"X", MASTER!F43&lt;&gt;"", MASTER!$F$2&lt;&gt;BUCKET!H43, MASTER!$F$2&lt;=MASTER!$M$2), MASTER!$F$2, IF(AND(MASTER!E43&lt;&gt;"X", MASTER!E43&lt;&gt;"", MASTER!$E$2&lt;&gt;BUCKET!H43, MASTER!$E$2&lt;=MASTER!$M$2), MASTER!$E$2, IF(AND( MASTER!D43&lt;&gt;"", MASTER!D43&lt;&gt;BUCKET!H43), MASTER!D43, IF(AND(MASTER!C43&lt;&gt;"X", MASTER!C43&lt;&gt;""), MASTER!C43))))))))))</f>
        <v>44216</v>
      </c>
      <c r="H43" s="35">
        <f ca="1">IF(AND(MASTER!K44&lt;&gt;"X", MASTER!K44&lt;&gt;"", MASTER!$K$2&lt;=MASTER!$M$2), MASTER!$K$2, IF(AND(MASTER!J44&lt;&gt;"X", MASTER!J44&lt;&gt;"", MASTER!$J$2&lt;=MASTER!$M$2),MASTER!$J$2, IF(AND(MASTER!I44&lt;&gt;"X", MASTER!I44&lt;&gt;"", MASTER!$I$2&lt;=MASTER!$M$2),MASTER!$I$2, IF(AND(MASTER!H44&lt;&gt;"X", MASTER!H44&lt;&gt;"", MASTER!$H$2&lt;=MASTER!$M$2),MASTER!$H$2, IF(AND(MASTER!G44&lt;&gt;"X", MASTER!G44&lt;&gt;"", MASTER!$F$2&lt;=MASTER!$M$2),MASTER!$G$2, IF(AND(MASTER!F44&lt;&gt;"X", MASTER!F44&lt;&gt;"", MASTER!$F$2&lt;=MASTER!$M$2), MASTER!$F$2, IF(AND(MASTER!E44&lt;&gt;"X", MASTER!E44&lt;&gt;"", MASTER!$E$2&lt;=MASTER!$M$2),MASTER!$E$2, IF(MASTER!D44&lt;&gt;"", MASTER!D44,""))))))))</f>
        <v>44217</v>
      </c>
      <c r="I43" s="8" t="s">
        <v>13</v>
      </c>
      <c r="J43" s="27" t="b">
        <f ca="1">IFERROR(IF(H43="NEW HIRE",FALSE,IF(AND((H43-G43)&lt;=1),($P$2-H43)&lt;=1)), "")</f>
        <v>0</v>
      </c>
      <c r="K43" s="54" t="b">
        <v>0</v>
      </c>
      <c r="L43" s="30" t="str">
        <f ca="1">IFERROR(IF(AND(MASTER!$K$1=MASTER!$N$2,MASTER!K43="X"),"",IF(AND(MASTER!$J$1=MASTER!$N$2,MASTER!J43="X"),"",IF(AND(MASTER!$I$1=MASTER!$N$2,MASTER!I43="X"),"",IF(AND(MASTER!$H$1=MASTER!$N$2,MASTER!H43="X"),"",IF(AND(MASTER!$G$1=MASTER!$N$2,MASTER!G43="X"),"",IF(AND(MASTER!$F$1=MASTER!$N$2,MASTER!F43="X"),"",IF(AND(MASTER!$E$1=MASTER!$N$2,MASTER!E43="X"),"",IF(AND($Q$2&lt;&gt;D43,$Q$2&lt;&gt;E43,$Q$2&lt;&gt;F43,I43="6 to 2",J43=FALSE,K43=FALSE),B43,"")))))))), "")</f>
        <v>Quinn Miller</v>
      </c>
      <c r="M43" s="34" t="str">
        <f ca="1">IFERROR(IF(AND(MASTER!$K$1=MASTER!$N$2,MASTER!K43="X"),"",IF(AND(MASTER!$J$1=MASTER!$N$2,MASTER!J43="X"),"",IF(AND(MASTER!$I$1=MASTER!$N$2,MASTER!I43="X"),"",IF(AND(MASTER!$H$1=MASTER!$N$2,MASTER!H43="X"),"",IF(AND(MASTER!$G$1=MASTER!$N$2,MASTER!G43="X"),"",IF(AND(MASTER!$F$1=MASTER!$N$2,MASTER!F43="X"),"",IF(AND(MASTER!$E$1=MASTER!$N$2,MASTER!E43="X"),"",IF(AND($Q$2&lt;&gt;D43,$Q$2&lt;&gt;E43,$Q$2&lt;&gt;F43,I43="2 to 10",J43=FALSE,K43=FALSE),B43,"")))))))), "")</f>
        <v/>
      </c>
      <c r="N43" s="44" t="str">
        <f ca="1">IFERROR(IF(AND(MASTER!$K$1=MASTER!$N$2,MASTER!K43="X"),"",IF(AND(MASTER!$J$1=MASTER!$N$2,MASTER!J43="X"),"",IF(AND(MASTER!$I$1=MASTER!$N$2,MASTER!I43="X"),"",IF(AND(MASTER!$H$1=MASTER!$N$2,MASTER!H43="X"),"",IF(AND(MASTER!$G$1=MASTER!$N$2,MASTER!G43="X"),"",IF(AND(MASTER!$F$1=MASTER!$N$2,MASTER!F43="X"),"",IF(AND(MASTER!$E$1=MASTER!$N$2,MASTER!E43="X"),"",IF(AND($Q$2&lt;&gt;D43,$Q$2&lt;&gt;E43,$Q$2&lt;&gt;F43,I43="10 to 6",J43=FALSE,K43=FALSE),B43,"")))))))), "")</f>
        <v/>
      </c>
    </row>
    <row r="44" spans="1:20" ht="16" thickBot="1" x14ac:dyDescent="0.25">
      <c r="A44">
        <v>43</v>
      </c>
      <c r="B44" s="51" t="s">
        <v>75</v>
      </c>
      <c r="C44" s="27">
        <f ca="1">IFERROR(IF(H44="NEW HIRE",100,IF($P$2-H44&lt;=100,$P$2-H44,IF($P$2-H44&gt;=365,0,))), 0)</f>
        <v>0</v>
      </c>
      <c r="D44" t="s">
        <v>7</v>
      </c>
      <c r="E44" t="s">
        <v>8</v>
      </c>
      <c r="F44" t="s">
        <v>3</v>
      </c>
      <c r="G44" s="38">
        <f ca="1">IF(AND(MASTER!K44&lt;&gt;"X",MASTER!K44&lt;&gt;"",MASTER!$K$2&lt;&gt;BUCKET!H44, MASTER!$K$2&lt;=MASTER!$M$2),MASTER!$K$2,IF(AND(MASTER!J44&lt;&gt;"X",MASTER!J44&lt;&gt;"",MASTER!$J$2&lt;&gt;BUCKET!H44, MASTER!$J$2&lt;=MASTER!$M$2),MASTER!$J$2,IF(AND(MASTER!I44&lt;&gt;"X",MASTER!I44&lt;&gt;"",MASTER!$I$2&lt;&gt;BUCKET!H44, MASTER!$I$2&lt;=MASTER!$M$2),MASTER!$I$2, IF(AND(MASTER!H44&lt;&gt;"X", MASTER!H44&lt;&gt;"", MASTER!$H$2&lt;&gt;BUCKET!H44, MASTER!$H$2&lt;=MASTER!$M$2), MASTER!$H$2, IF(AND(MASTER!G44&lt;&gt;"X", MASTER!G44&lt;&gt;"", MASTER!$G$2&lt;&gt;BUCKET!H44, MASTER!$G$2&lt;=MASTER!$M$2), MASTER!$H$2, IF(AND(MASTER!G44&lt;&gt;"X", MASTER!G44&lt;&gt;"", MASTER!$G$2&lt;&gt;BUCKET!H44, MASTER!$F$2&lt;=MASTER!$M$2), MASTER!$G$2, IF(AND(MASTER!F44&lt;&gt;"X", MASTER!F44&lt;&gt;"", MASTER!$F$2&lt;&gt;BUCKET!H44, MASTER!$F$2&lt;=MASTER!$M$2), MASTER!$F$2, IF(AND(MASTER!E44&lt;&gt;"X", MASTER!E44&lt;&gt;"", MASTER!$E$2&lt;&gt;BUCKET!H44, MASTER!$E$2&lt;=MASTER!$M$2), MASTER!$E$2, IF(AND( MASTER!D44&lt;&gt;"", MASTER!D44&lt;&gt;BUCKET!H44), MASTER!D44, IF(AND(MASTER!C44&lt;&gt;"X", MASTER!C44&lt;&gt;""), MASTER!C44))))))))))</f>
        <v>44217</v>
      </c>
      <c r="H44" s="35">
        <f ca="1">IF(AND(MASTER!K45&lt;&gt;"X", MASTER!K45&lt;&gt;"", MASTER!$K$2&lt;=MASTER!$M$2), MASTER!$K$2, IF(AND(MASTER!J45&lt;&gt;"X", MASTER!J45&lt;&gt;"", MASTER!$J$2&lt;=MASTER!$M$2),MASTER!$J$2, IF(AND(MASTER!I45&lt;&gt;"X", MASTER!I45&lt;&gt;"", MASTER!$I$2&lt;=MASTER!$M$2),MASTER!$I$2, IF(AND(MASTER!H45&lt;&gt;"X", MASTER!H45&lt;&gt;"", MASTER!$H$2&lt;=MASTER!$M$2),MASTER!$H$2, IF(AND(MASTER!G45&lt;&gt;"X", MASTER!G45&lt;&gt;"", MASTER!$F$2&lt;=MASTER!$M$2),MASTER!$G$2, IF(AND(MASTER!F45&lt;&gt;"X", MASTER!F45&lt;&gt;"", MASTER!$F$2&lt;=MASTER!$M$2), MASTER!$F$2, IF(AND(MASTER!E45&lt;&gt;"X", MASTER!E45&lt;&gt;"", MASTER!$E$2&lt;=MASTER!$M$2),MASTER!$E$2, IF(MASTER!D45&lt;&gt;"", MASTER!D45,""))))))))</f>
        <v>44218</v>
      </c>
      <c r="I44" s="8" t="s">
        <v>12</v>
      </c>
      <c r="J44" s="27" t="b">
        <f ca="1">IFERROR(IF(H44="NEW HIRE",FALSE,IF(AND((H44-G44)&lt;=1),($P$2-H44)&lt;=1)), "")</f>
        <v>0</v>
      </c>
      <c r="K44" s="54" t="b">
        <v>0</v>
      </c>
      <c r="L44" s="30" t="str">
        <f ca="1">IFERROR(IF(AND(MASTER!$K$1=MASTER!$N$2,MASTER!K44="X"),"",IF(AND(MASTER!$J$1=MASTER!$N$2,MASTER!J44="X"),"",IF(AND(MASTER!$I$1=MASTER!$N$2,MASTER!I44="X"),"",IF(AND(MASTER!$H$1=MASTER!$N$2,MASTER!H44="X"),"",IF(AND(MASTER!$G$1=MASTER!$N$2,MASTER!G44="X"),"",IF(AND(MASTER!$F$1=MASTER!$N$2,MASTER!F44="X"),"",IF(AND(MASTER!$E$1=MASTER!$N$2,MASTER!E44="X"),"",IF(AND($Q$2&lt;&gt;D44,$Q$2&lt;&gt;E44,$Q$2&lt;&gt;F44,I44="6 to 2",J44=FALSE,K44=FALSE),B44,"")))))))), "")</f>
        <v/>
      </c>
      <c r="M44" s="34" t="str">
        <f ca="1">IFERROR(IF(AND(MASTER!$K$1=MASTER!$N$2,MASTER!K44="X"),"",IF(AND(MASTER!$J$1=MASTER!$N$2,MASTER!J44="X"),"",IF(AND(MASTER!$I$1=MASTER!$N$2,MASTER!I44="X"),"",IF(AND(MASTER!$H$1=MASTER!$N$2,MASTER!H44="X"),"",IF(AND(MASTER!$G$1=MASTER!$N$2,MASTER!G44="X"),"",IF(AND(MASTER!$F$1=MASTER!$N$2,MASTER!F44="X"),"",IF(AND(MASTER!$E$1=MASTER!$N$2,MASTER!E44="X"),"",IF(AND($Q$2&lt;&gt;D44,$Q$2&lt;&gt;E44,$Q$2&lt;&gt;F44,I44="2 to 10",J44=FALSE,K44=FALSE),B44,"")))))))), "")</f>
        <v>Chris Anderson</v>
      </c>
      <c r="N44" s="44" t="str">
        <f ca="1">IFERROR(IF(AND(MASTER!$K$1=MASTER!$N$2,MASTER!K44="X"),"",IF(AND(MASTER!$J$1=MASTER!$N$2,MASTER!J44="X"),"",IF(AND(MASTER!$I$1=MASTER!$N$2,MASTER!I44="X"),"",IF(AND(MASTER!$H$1=MASTER!$N$2,MASTER!H44="X"),"",IF(AND(MASTER!$G$1=MASTER!$N$2,MASTER!G44="X"),"",IF(AND(MASTER!$F$1=MASTER!$N$2,MASTER!F44="X"),"",IF(AND(MASTER!$E$1=MASTER!$N$2,MASTER!E44="X"),"",IF(AND($Q$2&lt;&gt;D44,$Q$2&lt;&gt;E44,$Q$2&lt;&gt;F44,I44="10 to 6",J44=FALSE,K44=FALSE),B44,"")))))))), "")</f>
        <v/>
      </c>
    </row>
    <row r="45" spans="1:20" ht="16" thickBot="1" x14ac:dyDescent="0.25">
      <c r="A45">
        <v>44</v>
      </c>
      <c r="B45" s="51" t="s">
        <v>76</v>
      </c>
      <c r="C45" s="27">
        <f ca="1">IFERROR(IF(H45="NEW HIRE",100,IF($P$2-H45&lt;=100,$P$2-H45,IF($P$2-H45&gt;=365,0,))), 0)</f>
        <v>0</v>
      </c>
      <c r="D45" t="s">
        <v>3</v>
      </c>
      <c r="E45" t="s">
        <v>4</v>
      </c>
      <c r="F45" t="s">
        <v>5</v>
      </c>
      <c r="G45" s="38">
        <f ca="1">IF(AND(MASTER!K45&lt;&gt;"X",MASTER!K45&lt;&gt;"",MASTER!$K$2&lt;&gt;BUCKET!H45, MASTER!$K$2&lt;=MASTER!$M$2),MASTER!$K$2,IF(AND(MASTER!J45&lt;&gt;"X",MASTER!J45&lt;&gt;"",MASTER!$J$2&lt;&gt;BUCKET!H45, MASTER!$J$2&lt;=MASTER!$M$2),MASTER!$J$2,IF(AND(MASTER!I45&lt;&gt;"X",MASTER!I45&lt;&gt;"",MASTER!$I$2&lt;&gt;BUCKET!H45, MASTER!$I$2&lt;=MASTER!$M$2),MASTER!$I$2, IF(AND(MASTER!H45&lt;&gt;"X", MASTER!H45&lt;&gt;"", MASTER!$H$2&lt;&gt;BUCKET!H45, MASTER!$H$2&lt;=MASTER!$M$2), MASTER!$H$2, IF(AND(MASTER!G45&lt;&gt;"X", MASTER!G45&lt;&gt;"", MASTER!$G$2&lt;&gt;BUCKET!H45, MASTER!$G$2&lt;=MASTER!$M$2), MASTER!$H$2, IF(AND(MASTER!G45&lt;&gt;"X", MASTER!G45&lt;&gt;"", MASTER!$G$2&lt;&gt;BUCKET!H45, MASTER!$F$2&lt;=MASTER!$M$2), MASTER!$G$2, IF(AND(MASTER!F45&lt;&gt;"X", MASTER!F45&lt;&gt;"", MASTER!$F$2&lt;&gt;BUCKET!H45, MASTER!$F$2&lt;=MASTER!$M$2), MASTER!$F$2, IF(AND(MASTER!E45&lt;&gt;"X", MASTER!E45&lt;&gt;"", MASTER!$E$2&lt;&gt;BUCKET!H45, MASTER!$E$2&lt;=MASTER!$M$2), MASTER!$E$2, IF(AND( MASTER!D45&lt;&gt;"", MASTER!D45&lt;&gt;BUCKET!H45), MASTER!D45, IF(AND(MASTER!C45&lt;&gt;"X", MASTER!C45&lt;&gt;""), MASTER!C45))))))))))</f>
        <v>44218</v>
      </c>
      <c r="H45" s="35">
        <f ca="1">IF(AND(MASTER!K46&lt;&gt;"X", MASTER!K46&lt;&gt;"", MASTER!$K$2&lt;=MASTER!$M$2), MASTER!$K$2, IF(AND(MASTER!J46&lt;&gt;"X", MASTER!J46&lt;&gt;"", MASTER!$J$2&lt;=MASTER!$M$2),MASTER!$J$2, IF(AND(MASTER!I46&lt;&gt;"X", MASTER!I46&lt;&gt;"", MASTER!$I$2&lt;=MASTER!$M$2),MASTER!$I$2, IF(AND(MASTER!H46&lt;&gt;"X", MASTER!H46&lt;&gt;"", MASTER!$H$2&lt;=MASTER!$M$2),MASTER!$H$2, IF(AND(MASTER!G46&lt;&gt;"X", MASTER!G46&lt;&gt;"", MASTER!$F$2&lt;=MASTER!$M$2),MASTER!$G$2, IF(AND(MASTER!F46&lt;&gt;"X", MASTER!F46&lt;&gt;"", MASTER!$F$2&lt;=MASTER!$M$2), MASTER!$F$2, IF(AND(MASTER!E46&lt;&gt;"X", MASTER!E46&lt;&gt;"", MASTER!$E$2&lt;=MASTER!$M$2),MASTER!$E$2, IF(MASTER!D46&lt;&gt;"", MASTER!D46,""))))))))</f>
        <v>44219</v>
      </c>
      <c r="I45" s="8" t="s">
        <v>12</v>
      </c>
      <c r="J45" s="27" t="b">
        <f ca="1">IFERROR(IF(H45="NEW HIRE",FALSE,IF(AND((H45-G45)&lt;=1),($P$2-H45)&lt;=1)), "")</f>
        <v>0</v>
      </c>
      <c r="K45" s="54" t="b">
        <v>0</v>
      </c>
      <c r="L45" s="30" t="str">
        <f ca="1">IFERROR(IF(AND(MASTER!$K$1=MASTER!$N$2,MASTER!K45="X"),"",IF(AND(MASTER!$J$1=MASTER!$N$2,MASTER!J45="X"),"",IF(AND(MASTER!$I$1=MASTER!$N$2,MASTER!I45="X"),"",IF(AND(MASTER!$H$1=MASTER!$N$2,MASTER!H45="X"),"",IF(AND(MASTER!$G$1=MASTER!$N$2,MASTER!G45="X"),"",IF(AND(MASTER!$F$1=MASTER!$N$2,MASTER!F45="X"),"",IF(AND(MASTER!$E$1=MASTER!$N$2,MASTER!E45="X"),"",IF(AND($Q$2&lt;&gt;D45,$Q$2&lt;&gt;E45,$Q$2&lt;&gt;F45,I45="6 to 2",J45=FALSE,K45=FALSE),B45,"")))))))), "")</f>
        <v/>
      </c>
      <c r="M45" s="34" t="str">
        <f ca="1">IFERROR(IF(AND(MASTER!$K$1=MASTER!$N$2,MASTER!K45="X"),"",IF(AND(MASTER!$J$1=MASTER!$N$2,MASTER!J45="X"),"",IF(AND(MASTER!$I$1=MASTER!$N$2,MASTER!I45="X"),"",IF(AND(MASTER!$H$1=MASTER!$N$2,MASTER!H45="X"),"",IF(AND(MASTER!$G$1=MASTER!$N$2,MASTER!G45="X"),"",IF(AND(MASTER!$F$1=MASTER!$N$2,MASTER!F45="X"),"",IF(AND(MASTER!$E$1=MASTER!$N$2,MASTER!E45="X"),"",IF(AND($Q$2&lt;&gt;D45,$Q$2&lt;&gt;E45,$Q$2&lt;&gt;F45,I45="2 to 10",J45=FALSE,K45=FALSE),B45,"")))))))), "")</f>
        <v>Skyler Johnson</v>
      </c>
      <c r="N45" s="44" t="str">
        <f ca="1">IFERROR(IF(AND(MASTER!$K$1=MASTER!$N$2,MASTER!K45="X"),"",IF(AND(MASTER!$J$1=MASTER!$N$2,MASTER!J45="X"),"",IF(AND(MASTER!$I$1=MASTER!$N$2,MASTER!I45="X"),"",IF(AND(MASTER!$H$1=MASTER!$N$2,MASTER!H45="X"),"",IF(AND(MASTER!$G$1=MASTER!$N$2,MASTER!G45="X"),"",IF(AND(MASTER!$F$1=MASTER!$N$2,MASTER!F45="X"),"",IF(AND(MASTER!$E$1=MASTER!$N$2,MASTER!E45="X"),"",IF(AND($Q$2&lt;&gt;D45,$Q$2&lt;&gt;E45,$Q$2&lt;&gt;F45,I45="10 to 6",J45=FALSE,K45=FALSE),B45,"")))))))), "")</f>
        <v/>
      </c>
    </row>
    <row r="46" spans="1:20" ht="16" thickBot="1" x14ac:dyDescent="0.25">
      <c r="A46">
        <v>45</v>
      </c>
      <c r="B46" s="51" t="s">
        <v>77</v>
      </c>
      <c r="C46" s="27">
        <f ca="1">IFERROR(IF(H46="NEW HIRE",100,IF($P$2-H46&lt;=100,$P$2-H46,IF($P$2-H46&gt;=365,0,))), 0)</f>
        <v>0</v>
      </c>
      <c r="D46" t="s">
        <v>6</v>
      </c>
      <c r="E46" t="s">
        <v>2</v>
      </c>
      <c r="F46" t="s">
        <v>7</v>
      </c>
      <c r="G46" s="38">
        <f ca="1">IF(AND(MASTER!K46&lt;&gt;"X",MASTER!K46&lt;&gt;"",MASTER!$K$2&lt;&gt;BUCKET!H46, MASTER!$K$2&lt;=MASTER!$M$2),MASTER!$K$2,IF(AND(MASTER!J46&lt;&gt;"X",MASTER!J46&lt;&gt;"",MASTER!$J$2&lt;&gt;BUCKET!H46, MASTER!$J$2&lt;=MASTER!$M$2),MASTER!$J$2,IF(AND(MASTER!I46&lt;&gt;"X",MASTER!I46&lt;&gt;"",MASTER!$I$2&lt;&gt;BUCKET!H46, MASTER!$I$2&lt;=MASTER!$M$2),MASTER!$I$2, IF(AND(MASTER!H46&lt;&gt;"X", MASTER!H46&lt;&gt;"", MASTER!$H$2&lt;&gt;BUCKET!H46, MASTER!$H$2&lt;=MASTER!$M$2), MASTER!$H$2, IF(AND(MASTER!G46&lt;&gt;"X", MASTER!G46&lt;&gt;"", MASTER!$G$2&lt;&gt;BUCKET!H46, MASTER!$G$2&lt;=MASTER!$M$2), MASTER!$H$2, IF(AND(MASTER!G46&lt;&gt;"X", MASTER!G46&lt;&gt;"", MASTER!$G$2&lt;&gt;BUCKET!H46, MASTER!$F$2&lt;=MASTER!$M$2), MASTER!$G$2, IF(AND(MASTER!F46&lt;&gt;"X", MASTER!F46&lt;&gt;"", MASTER!$F$2&lt;&gt;BUCKET!H46, MASTER!$F$2&lt;=MASTER!$M$2), MASTER!$F$2, IF(AND(MASTER!E46&lt;&gt;"X", MASTER!E46&lt;&gt;"", MASTER!$E$2&lt;&gt;BUCKET!H46, MASTER!$E$2&lt;=MASTER!$M$2), MASTER!$E$2, IF(AND( MASTER!D46&lt;&gt;"", MASTER!D46&lt;&gt;BUCKET!H46), MASTER!D46, IF(AND(MASTER!C46&lt;&gt;"X", MASTER!C46&lt;&gt;""), MASTER!C46))))))))))</f>
        <v>44219</v>
      </c>
      <c r="H46" s="35">
        <f ca="1">IF(AND(MASTER!K47&lt;&gt;"X", MASTER!K47&lt;&gt;"", MASTER!$K$2&lt;=MASTER!$M$2), MASTER!$K$2, IF(AND(MASTER!J47&lt;&gt;"X", MASTER!J47&lt;&gt;"", MASTER!$J$2&lt;=MASTER!$M$2),MASTER!$J$2, IF(AND(MASTER!I47&lt;&gt;"X", MASTER!I47&lt;&gt;"", MASTER!$I$2&lt;=MASTER!$M$2),MASTER!$I$2, IF(AND(MASTER!H47&lt;&gt;"X", MASTER!H47&lt;&gt;"", MASTER!$H$2&lt;=MASTER!$M$2),MASTER!$H$2, IF(AND(MASTER!G47&lt;&gt;"X", MASTER!G47&lt;&gt;"", MASTER!$F$2&lt;=MASTER!$M$2),MASTER!$G$2, IF(AND(MASTER!F47&lt;&gt;"X", MASTER!F47&lt;&gt;"", MASTER!$F$2&lt;=MASTER!$M$2), MASTER!$F$2, IF(AND(MASTER!E47&lt;&gt;"X", MASTER!E47&lt;&gt;"", MASTER!$E$2&lt;=MASTER!$M$2),MASTER!$E$2, IF(MASTER!D47&lt;&gt;"", MASTER!D47,""))))))))</f>
        <v>44220</v>
      </c>
      <c r="I46" s="8" t="s">
        <v>12</v>
      </c>
      <c r="J46" s="27" t="b">
        <f ca="1">IFERROR(IF(H46="NEW HIRE",FALSE,IF(AND((H46-G46)&lt;=1),($P$2-H46)&lt;=1)), "")</f>
        <v>0</v>
      </c>
      <c r="K46" s="54" t="b">
        <v>0</v>
      </c>
      <c r="L46" s="30" t="str">
        <f ca="1">IFERROR(IF(AND(MASTER!$K$1=MASTER!$N$2,MASTER!K46="X"),"",IF(AND(MASTER!$J$1=MASTER!$N$2,MASTER!J46="X"),"",IF(AND(MASTER!$I$1=MASTER!$N$2,MASTER!I46="X"),"",IF(AND(MASTER!$H$1=MASTER!$N$2,MASTER!H46="X"),"",IF(AND(MASTER!$G$1=MASTER!$N$2,MASTER!G46="X"),"",IF(AND(MASTER!$F$1=MASTER!$N$2,MASTER!F46="X"),"",IF(AND(MASTER!$E$1=MASTER!$N$2,MASTER!E46="X"),"",IF(AND($Q$2&lt;&gt;D46,$Q$2&lt;&gt;E46,$Q$2&lt;&gt;F46,I46="6 to 2",J46=FALSE,K46=FALSE),B46,"")))))))), "")</f>
        <v/>
      </c>
      <c r="M46" s="34" t="str">
        <f ca="1">IFERROR(IF(AND(MASTER!$K$1=MASTER!$N$2,MASTER!K46="X"),"",IF(AND(MASTER!$J$1=MASTER!$N$2,MASTER!J46="X"),"",IF(AND(MASTER!$I$1=MASTER!$N$2,MASTER!I46="X"),"",IF(AND(MASTER!$H$1=MASTER!$N$2,MASTER!H46="X"),"",IF(AND(MASTER!$G$1=MASTER!$N$2,MASTER!G46="X"),"",IF(AND(MASTER!$F$1=MASTER!$N$2,MASTER!F46="X"),"",IF(AND(MASTER!$E$1=MASTER!$N$2,MASTER!E46="X"),"",IF(AND($Q$2&lt;&gt;D46,$Q$2&lt;&gt;E46,$Q$2&lt;&gt;F46,I46="2 to 10",J46=FALSE,K46=FALSE),B46,"")))))))), "")</f>
        <v/>
      </c>
      <c r="N46" s="44" t="str">
        <f ca="1">IFERROR(IF(AND(MASTER!$K$1=MASTER!$N$2,MASTER!K46="X"),"",IF(AND(MASTER!$J$1=MASTER!$N$2,MASTER!J46="X"),"",IF(AND(MASTER!$I$1=MASTER!$N$2,MASTER!I46="X"),"",IF(AND(MASTER!$H$1=MASTER!$N$2,MASTER!H46="X"),"",IF(AND(MASTER!$G$1=MASTER!$N$2,MASTER!G46="X"),"",IF(AND(MASTER!$F$1=MASTER!$N$2,MASTER!F46="X"),"",IF(AND(MASTER!$E$1=MASTER!$N$2,MASTER!E46="X"),"",IF(AND($Q$2&lt;&gt;D46,$Q$2&lt;&gt;E46,$Q$2&lt;&gt;F46,I46="10 to 6",J46=FALSE,K46=FALSE),B46,"")))))))), "")</f>
        <v/>
      </c>
    </row>
    <row r="47" spans="1:20" ht="16" thickBot="1" x14ac:dyDescent="0.25">
      <c r="A47">
        <v>46</v>
      </c>
      <c r="B47" s="51" t="s">
        <v>78</v>
      </c>
      <c r="C47" s="27">
        <f ca="1">IFERROR(IF(H47="NEW HIRE",100,IF($P$2-H47&lt;=100,$P$2-H47,IF($P$2-H47&gt;=365,0,))), 0)</f>
        <v>0</v>
      </c>
      <c r="D47" t="s">
        <v>8</v>
      </c>
      <c r="E47" t="s">
        <v>3</v>
      </c>
      <c r="F47" t="s">
        <v>4</v>
      </c>
      <c r="G47" s="38">
        <f ca="1">IF(AND(MASTER!K47&lt;&gt;"X",MASTER!K47&lt;&gt;"",MASTER!$K$2&lt;&gt;BUCKET!H47, MASTER!$K$2&lt;=MASTER!$M$2),MASTER!$K$2,IF(AND(MASTER!J47&lt;&gt;"X",MASTER!J47&lt;&gt;"",MASTER!$J$2&lt;&gt;BUCKET!H47, MASTER!$J$2&lt;=MASTER!$M$2),MASTER!$J$2,IF(AND(MASTER!I47&lt;&gt;"X",MASTER!I47&lt;&gt;"",MASTER!$I$2&lt;&gt;BUCKET!H47, MASTER!$I$2&lt;=MASTER!$M$2),MASTER!$I$2, IF(AND(MASTER!H47&lt;&gt;"X", MASTER!H47&lt;&gt;"", MASTER!$H$2&lt;&gt;BUCKET!H47, MASTER!$H$2&lt;=MASTER!$M$2), MASTER!$H$2, IF(AND(MASTER!G47&lt;&gt;"X", MASTER!G47&lt;&gt;"", MASTER!$G$2&lt;&gt;BUCKET!H47, MASTER!$G$2&lt;=MASTER!$M$2), MASTER!$H$2, IF(AND(MASTER!G47&lt;&gt;"X", MASTER!G47&lt;&gt;"", MASTER!$G$2&lt;&gt;BUCKET!H47, MASTER!$F$2&lt;=MASTER!$M$2), MASTER!$G$2, IF(AND(MASTER!F47&lt;&gt;"X", MASTER!F47&lt;&gt;"", MASTER!$F$2&lt;&gt;BUCKET!H47, MASTER!$F$2&lt;=MASTER!$M$2), MASTER!$F$2, IF(AND(MASTER!E47&lt;&gt;"X", MASTER!E47&lt;&gt;"", MASTER!$E$2&lt;&gt;BUCKET!H47, MASTER!$E$2&lt;=MASTER!$M$2), MASTER!$E$2, IF(AND( MASTER!D47&lt;&gt;"", MASTER!D47&lt;&gt;BUCKET!H47), MASTER!D47, IF(AND(MASTER!C47&lt;&gt;"X", MASTER!C47&lt;&gt;""), MASTER!C47))))))))))</f>
        <v>44220</v>
      </c>
      <c r="H47" s="35">
        <f ca="1">IF(AND(MASTER!K48&lt;&gt;"X", MASTER!K48&lt;&gt;"", MASTER!$K$2&lt;=MASTER!$M$2), MASTER!$K$2, IF(AND(MASTER!J48&lt;&gt;"X", MASTER!J48&lt;&gt;"", MASTER!$J$2&lt;=MASTER!$M$2),MASTER!$J$2, IF(AND(MASTER!I48&lt;&gt;"X", MASTER!I48&lt;&gt;"", MASTER!$I$2&lt;=MASTER!$M$2),MASTER!$I$2, IF(AND(MASTER!H48&lt;&gt;"X", MASTER!H48&lt;&gt;"", MASTER!$H$2&lt;=MASTER!$M$2),MASTER!$H$2, IF(AND(MASTER!G48&lt;&gt;"X", MASTER!G48&lt;&gt;"", MASTER!$F$2&lt;=MASTER!$M$2),MASTER!$G$2, IF(AND(MASTER!F48&lt;&gt;"X", MASTER!F48&lt;&gt;"", MASTER!$F$2&lt;=MASTER!$M$2), MASTER!$F$2, IF(AND(MASTER!E48&lt;&gt;"X", MASTER!E48&lt;&gt;"", MASTER!$E$2&lt;=MASTER!$M$2),MASTER!$E$2, IF(MASTER!D48&lt;&gt;"", MASTER!D48,""))))))))</f>
        <v>44221</v>
      </c>
      <c r="I47" s="8" t="s">
        <v>13</v>
      </c>
      <c r="J47" s="27" t="b">
        <f ca="1">IFERROR(IF(H47="NEW HIRE",FALSE,IF(AND((H47-G47)&lt;=1),($P$2-H47)&lt;=1)), "")</f>
        <v>0</v>
      </c>
      <c r="K47" s="54" t="s">
        <v>19</v>
      </c>
      <c r="L47" s="30" t="str">
        <f ca="1">IFERROR(IF(AND(MASTER!$K$1=MASTER!$N$2,MASTER!K47="X"),"",IF(AND(MASTER!$J$1=MASTER!$N$2,MASTER!J47="X"),"",IF(AND(MASTER!$I$1=MASTER!$N$2,MASTER!I47="X"),"",IF(AND(MASTER!$H$1=MASTER!$N$2,MASTER!H47="X"),"",IF(AND(MASTER!$G$1=MASTER!$N$2,MASTER!G47="X"),"",IF(AND(MASTER!$F$1=MASTER!$N$2,MASTER!F47="X"),"",IF(AND(MASTER!$E$1=MASTER!$N$2,MASTER!E47="X"),"",IF(AND($Q$2&lt;&gt;D47,$Q$2&lt;&gt;E47,$Q$2&lt;&gt;F47,I47="6 to 2",J47=FALSE,K47=FALSE),B47,"")))))))), "")</f>
        <v/>
      </c>
      <c r="M47" s="34" t="str">
        <f ca="1">IFERROR(IF(AND(MASTER!$K$1=MASTER!$N$2,MASTER!K47="X"),"",IF(AND(MASTER!$J$1=MASTER!$N$2,MASTER!J47="X"),"",IF(AND(MASTER!$I$1=MASTER!$N$2,MASTER!I47="X"),"",IF(AND(MASTER!$H$1=MASTER!$N$2,MASTER!H47="X"),"",IF(AND(MASTER!$G$1=MASTER!$N$2,MASTER!G47="X"),"",IF(AND(MASTER!$F$1=MASTER!$N$2,MASTER!F47="X"),"",IF(AND(MASTER!$E$1=MASTER!$N$2,MASTER!E47="X"),"",IF(AND($Q$2&lt;&gt;D47,$Q$2&lt;&gt;E47,$Q$2&lt;&gt;F47,I47="2 to 10",J47=FALSE,K47=FALSE),B47,"")))))))), "")</f>
        <v/>
      </c>
      <c r="N47" s="44" t="str">
        <f ca="1">IFERROR(IF(AND(MASTER!$K$1=MASTER!$N$2,MASTER!K47="X"),"",IF(AND(MASTER!$J$1=MASTER!$N$2,MASTER!J47="X"),"",IF(AND(MASTER!$I$1=MASTER!$N$2,MASTER!I47="X"),"",IF(AND(MASTER!$H$1=MASTER!$N$2,MASTER!H47="X"),"",IF(AND(MASTER!$G$1=MASTER!$N$2,MASTER!G47="X"),"",IF(AND(MASTER!$F$1=MASTER!$N$2,MASTER!F47="X"),"",IF(AND(MASTER!$E$1=MASTER!$N$2,MASTER!E47="X"),"",IF(AND($Q$2&lt;&gt;D47,$Q$2&lt;&gt;E47,$Q$2&lt;&gt;F47,I47="10 to 6",J47=FALSE,K47=FALSE),B47,"")))))))), "")</f>
        <v/>
      </c>
    </row>
    <row r="48" spans="1:20" ht="16" thickBot="1" x14ac:dyDescent="0.25">
      <c r="A48">
        <v>47</v>
      </c>
      <c r="B48" s="51" t="s">
        <v>79</v>
      </c>
      <c r="C48" s="27">
        <f ca="1">IFERROR(IF(H48="NEW HIRE",100,IF($P$2-H48&lt;=100,$P$2-H48,IF($P$2-H48&gt;=365,0,))), 0)</f>
        <v>0</v>
      </c>
      <c r="D48" t="s">
        <v>3</v>
      </c>
      <c r="E48" t="s">
        <v>4</v>
      </c>
      <c r="F48" t="s">
        <v>5</v>
      </c>
      <c r="G48" s="38">
        <f ca="1">IF(AND(MASTER!K48&lt;&gt;"X",MASTER!K48&lt;&gt;"",MASTER!$K$2&lt;&gt;BUCKET!H48, MASTER!$K$2&lt;=MASTER!$M$2),MASTER!$K$2,IF(AND(MASTER!J48&lt;&gt;"X",MASTER!J48&lt;&gt;"",MASTER!$J$2&lt;&gt;BUCKET!H48, MASTER!$J$2&lt;=MASTER!$M$2),MASTER!$J$2,IF(AND(MASTER!I48&lt;&gt;"X",MASTER!I48&lt;&gt;"",MASTER!$I$2&lt;&gt;BUCKET!H48, MASTER!$I$2&lt;=MASTER!$M$2),MASTER!$I$2, IF(AND(MASTER!H48&lt;&gt;"X", MASTER!H48&lt;&gt;"", MASTER!$H$2&lt;&gt;BUCKET!H48, MASTER!$H$2&lt;=MASTER!$M$2), MASTER!$H$2, IF(AND(MASTER!G48&lt;&gt;"X", MASTER!G48&lt;&gt;"", MASTER!$G$2&lt;&gt;BUCKET!H48, MASTER!$G$2&lt;=MASTER!$M$2), MASTER!$H$2, IF(AND(MASTER!G48&lt;&gt;"X", MASTER!G48&lt;&gt;"", MASTER!$G$2&lt;&gt;BUCKET!H48, MASTER!$F$2&lt;=MASTER!$M$2), MASTER!$G$2, IF(AND(MASTER!F48&lt;&gt;"X", MASTER!F48&lt;&gt;"", MASTER!$F$2&lt;&gt;BUCKET!H48, MASTER!$F$2&lt;=MASTER!$M$2), MASTER!$F$2, IF(AND(MASTER!E48&lt;&gt;"X", MASTER!E48&lt;&gt;"", MASTER!$E$2&lt;&gt;BUCKET!H48, MASTER!$E$2&lt;=MASTER!$M$2), MASTER!$E$2, IF(AND( MASTER!D48&lt;&gt;"", MASTER!D48&lt;&gt;BUCKET!H48), MASTER!D48, IF(AND(MASTER!C48&lt;&gt;"X", MASTER!C48&lt;&gt;""), MASTER!C48))))))))))</f>
        <v>44221</v>
      </c>
      <c r="H48" s="35">
        <f ca="1">IF(AND(MASTER!K49&lt;&gt;"X", MASTER!K49&lt;&gt;"", MASTER!$K$2&lt;=MASTER!$M$2), MASTER!$K$2, IF(AND(MASTER!J49&lt;&gt;"X", MASTER!J49&lt;&gt;"", MASTER!$J$2&lt;=MASTER!$M$2),MASTER!$J$2, IF(AND(MASTER!I49&lt;&gt;"X", MASTER!I49&lt;&gt;"", MASTER!$I$2&lt;=MASTER!$M$2),MASTER!$I$2, IF(AND(MASTER!H49&lt;&gt;"X", MASTER!H49&lt;&gt;"", MASTER!$H$2&lt;=MASTER!$M$2),MASTER!$H$2, IF(AND(MASTER!G49&lt;&gt;"X", MASTER!G49&lt;&gt;"", MASTER!$F$2&lt;=MASTER!$M$2),MASTER!$G$2, IF(AND(MASTER!F49&lt;&gt;"X", MASTER!F49&lt;&gt;"", MASTER!$F$2&lt;=MASTER!$M$2), MASTER!$F$2, IF(AND(MASTER!E49&lt;&gt;"X", MASTER!E49&lt;&gt;"", MASTER!$E$2&lt;=MASTER!$M$2),MASTER!$E$2, IF(MASTER!D49&lt;&gt;"", MASTER!D49,""))))))))</f>
        <v>44222</v>
      </c>
      <c r="I48" s="8" t="s">
        <v>16</v>
      </c>
      <c r="J48" s="27" t="b">
        <f ca="1">IFERROR(IF(H48="NEW HIRE",FALSE,IF(AND((H48-G48)&lt;=1),($P$2-H48)&lt;=1)), "")</f>
        <v>0</v>
      </c>
      <c r="K48" s="54" t="b">
        <v>0</v>
      </c>
      <c r="L48" s="30" t="str">
        <f ca="1">IFERROR(IF(AND(MASTER!$K$1=MASTER!$N$2,MASTER!K48="X"),"",IF(AND(MASTER!$J$1=MASTER!$N$2,MASTER!J48="X"),"",IF(AND(MASTER!$I$1=MASTER!$N$2,MASTER!I48="X"),"",IF(AND(MASTER!$H$1=MASTER!$N$2,MASTER!H48="X"),"",IF(AND(MASTER!$G$1=MASTER!$N$2,MASTER!G48="X"),"",IF(AND(MASTER!$F$1=MASTER!$N$2,MASTER!F48="X"),"",IF(AND(MASTER!$E$1=MASTER!$N$2,MASTER!E48="X"),"",IF(AND($Q$2&lt;&gt;D48,$Q$2&lt;&gt;E48,$Q$2&lt;&gt;F48,I48="6 to 2",J48=FALSE,K48=FALSE),B48,"")))))))), "")</f>
        <v/>
      </c>
      <c r="M48" s="34" t="str">
        <f ca="1">IFERROR(IF(AND(MASTER!$K$1=MASTER!$N$2,MASTER!K48="X"),"",IF(AND(MASTER!$J$1=MASTER!$N$2,MASTER!J48="X"),"",IF(AND(MASTER!$I$1=MASTER!$N$2,MASTER!I48="X"),"",IF(AND(MASTER!$H$1=MASTER!$N$2,MASTER!H48="X"),"",IF(AND(MASTER!$G$1=MASTER!$N$2,MASTER!G48="X"),"",IF(AND(MASTER!$F$1=MASTER!$N$2,MASTER!F48="X"),"",IF(AND(MASTER!$E$1=MASTER!$N$2,MASTER!E48="X"),"",IF(AND($Q$2&lt;&gt;D48,$Q$2&lt;&gt;E48,$Q$2&lt;&gt;F48,I48="2 to 10",J48=FALSE,K48=FALSE),B48,"")))))))), "")</f>
        <v/>
      </c>
      <c r="N48" s="44" t="str">
        <f ca="1">IFERROR(IF(AND(MASTER!$K$1=MASTER!$N$2,MASTER!K48="X"),"",IF(AND(MASTER!$J$1=MASTER!$N$2,MASTER!J48="X"),"",IF(AND(MASTER!$I$1=MASTER!$N$2,MASTER!I48="X"),"",IF(AND(MASTER!$H$1=MASTER!$N$2,MASTER!H48="X"),"",IF(AND(MASTER!$G$1=MASTER!$N$2,MASTER!G48="X"),"",IF(AND(MASTER!$F$1=MASTER!$N$2,MASTER!F48="X"),"",IF(AND(MASTER!$E$1=MASTER!$N$2,MASTER!E48="X"),"",IF(AND($Q$2&lt;&gt;D48,$Q$2&lt;&gt;E48,$Q$2&lt;&gt;F48,I48="10 to 6",J48=FALSE,K48=FALSE),B48,"")))))))), "")</f>
        <v>Alex Thomas</v>
      </c>
    </row>
    <row r="49" spans="1:14" ht="16" thickBot="1" x14ac:dyDescent="0.25">
      <c r="A49">
        <v>48</v>
      </c>
      <c r="B49" s="51" t="s">
        <v>80</v>
      </c>
      <c r="C49" s="27">
        <f ca="1">IFERROR(IF(H49="NEW HIRE",100,IF($P$2-H49&lt;=100,$P$2-H49,IF($P$2-H49&gt;=365,0,))), 0)</f>
        <v>0</v>
      </c>
      <c r="D49" t="s">
        <v>7</v>
      </c>
      <c r="E49" t="s">
        <v>8</v>
      </c>
      <c r="F49" t="s">
        <v>3</v>
      </c>
      <c r="G49" s="38">
        <f ca="1">IF(AND(MASTER!K49&lt;&gt;"X",MASTER!K49&lt;&gt;"",MASTER!$K$2&lt;&gt;BUCKET!H49, MASTER!$K$2&lt;=MASTER!$M$2),MASTER!$K$2,IF(AND(MASTER!J49&lt;&gt;"X",MASTER!J49&lt;&gt;"",MASTER!$J$2&lt;&gt;BUCKET!H49, MASTER!$J$2&lt;=MASTER!$M$2),MASTER!$J$2,IF(AND(MASTER!I49&lt;&gt;"X",MASTER!I49&lt;&gt;"",MASTER!$I$2&lt;&gt;BUCKET!H49, MASTER!$I$2&lt;=MASTER!$M$2),MASTER!$I$2, IF(AND(MASTER!H49&lt;&gt;"X", MASTER!H49&lt;&gt;"", MASTER!$H$2&lt;&gt;BUCKET!H49, MASTER!$H$2&lt;=MASTER!$M$2), MASTER!$H$2, IF(AND(MASTER!G49&lt;&gt;"X", MASTER!G49&lt;&gt;"", MASTER!$G$2&lt;&gt;BUCKET!H49, MASTER!$G$2&lt;=MASTER!$M$2), MASTER!$H$2, IF(AND(MASTER!G49&lt;&gt;"X", MASTER!G49&lt;&gt;"", MASTER!$G$2&lt;&gt;BUCKET!H49, MASTER!$F$2&lt;=MASTER!$M$2), MASTER!$G$2, IF(AND(MASTER!F49&lt;&gt;"X", MASTER!F49&lt;&gt;"", MASTER!$F$2&lt;&gt;BUCKET!H49, MASTER!$F$2&lt;=MASTER!$M$2), MASTER!$F$2, IF(AND(MASTER!E49&lt;&gt;"X", MASTER!E49&lt;&gt;"", MASTER!$E$2&lt;&gt;BUCKET!H49, MASTER!$E$2&lt;=MASTER!$M$2), MASTER!$E$2, IF(AND( MASTER!D49&lt;&gt;"", MASTER!D49&lt;&gt;BUCKET!H49), MASTER!D49, IF(AND(MASTER!C49&lt;&gt;"X", MASTER!C49&lt;&gt;""), MASTER!C49))))))))))</f>
        <v>44222</v>
      </c>
      <c r="H49" s="35">
        <f ca="1">IF(AND(MASTER!K50&lt;&gt;"X", MASTER!K50&lt;&gt;"", MASTER!$K$2&lt;=MASTER!$M$2), MASTER!$K$2, IF(AND(MASTER!J50&lt;&gt;"X", MASTER!J50&lt;&gt;"", MASTER!$J$2&lt;=MASTER!$M$2),MASTER!$J$2, IF(AND(MASTER!I50&lt;&gt;"X", MASTER!I50&lt;&gt;"", MASTER!$I$2&lt;=MASTER!$M$2),MASTER!$I$2, IF(AND(MASTER!H50&lt;&gt;"X", MASTER!H50&lt;&gt;"", MASTER!$H$2&lt;=MASTER!$M$2),MASTER!$H$2, IF(AND(MASTER!G50&lt;&gt;"X", MASTER!G50&lt;&gt;"", MASTER!$F$2&lt;=MASTER!$M$2),MASTER!$G$2, IF(AND(MASTER!F50&lt;&gt;"X", MASTER!F50&lt;&gt;"", MASTER!$F$2&lt;=MASTER!$M$2), MASTER!$F$2, IF(AND(MASTER!E50&lt;&gt;"X", MASTER!E50&lt;&gt;"", MASTER!$E$2&lt;=MASTER!$M$2),MASTER!$E$2, IF(MASTER!D50&lt;&gt;"", MASTER!D50,""))))))))</f>
        <v>44223</v>
      </c>
      <c r="I49" s="8" t="s">
        <v>13</v>
      </c>
      <c r="J49" s="27" t="b">
        <f ca="1">IFERROR(IF(H49="NEW HIRE",FALSE,IF(AND((H49-G49)&lt;=1),($P$2-H49)&lt;=1)), "")</f>
        <v>0</v>
      </c>
      <c r="K49" s="54" t="b">
        <v>0</v>
      </c>
      <c r="L49" s="30" t="str">
        <f ca="1">IFERROR(IF(AND(MASTER!$K$1=MASTER!$N$2,MASTER!K49="X"),"",IF(AND(MASTER!$J$1=MASTER!$N$2,MASTER!J49="X"),"",IF(AND(MASTER!$I$1=MASTER!$N$2,MASTER!I49="X"),"",IF(AND(MASTER!$H$1=MASTER!$N$2,MASTER!H49="X"),"",IF(AND(MASTER!$G$1=MASTER!$N$2,MASTER!G49="X"),"",IF(AND(MASTER!$F$1=MASTER!$N$2,MASTER!F49="X"),"",IF(AND(MASTER!$E$1=MASTER!$N$2,MASTER!E49="X"),"",IF(AND($Q$2&lt;&gt;D49,$Q$2&lt;&gt;E49,$Q$2&lt;&gt;F49,I49="6 to 2",J49=FALSE,K49=FALSE),B49,"")))))))), "")</f>
        <v>Elliot Lopez</v>
      </c>
      <c r="M49" s="34" t="str">
        <f ca="1">IFERROR(IF(AND(MASTER!$K$1=MASTER!$N$2,MASTER!K49="X"),"",IF(AND(MASTER!$J$1=MASTER!$N$2,MASTER!J49="X"),"",IF(AND(MASTER!$I$1=MASTER!$N$2,MASTER!I49="X"),"",IF(AND(MASTER!$H$1=MASTER!$N$2,MASTER!H49="X"),"",IF(AND(MASTER!$G$1=MASTER!$N$2,MASTER!G49="X"),"",IF(AND(MASTER!$F$1=MASTER!$N$2,MASTER!F49="X"),"",IF(AND(MASTER!$E$1=MASTER!$N$2,MASTER!E49="X"),"",IF(AND($Q$2&lt;&gt;D49,$Q$2&lt;&gt;E49,$Q$2&lt;&gt;F49,I49="2 to 10",J49=FALSE,K49=FALSE),B49,"")))))))), "")</f>
        <v/>
      </c>
      <c r="N49" s="44" t="str">
        <f ca="1">IFERROR(IF(AND(MASTER!$K$1=MASTER!$N$2,MASTER!K49="X"),"",IF(AND(MASTER!$J$1=MASTER!$N$2,MASTER!J49="X"),"",IF(AND(MASTER!$I$1=MASTER!$N$2,MASTER!I49="X"),"",IF(AND(MASTER!$H$1=MASTER!$N$2,MASTER!H49="X"),"",IF(AND(MASTER!$G$1=MASTER!$N$2,MASTER!G49="X"),"",IF(AND(MASTER!$F$1=MASTER!$N$2,MASTER!F49="X"),"",IF(AND(MASTER!$E$1=MASTER!$N$2,MASTER!E49="X"),"",IF(AND($Q$2&lt;&gt;D49,$Q$2&lt;&gt;E49,$Q$2&lt;&gt;F49,I49="10 to 6",J49=FALSE,K49=FALSE),B49,"")))))))), "")</f>
        <v/>
      </c>
    </row>
    <row r="50" spans="1:14" ht="16" thickBot="1" x14ac:dyDescent="0.25">
      <c r="A50">
        <v>49</v>
      </c>
      <c r="B50" s="51" t="s">
        <v>81</v>
      </c>
      <c r="C50" s="27">
        <f ca="1">IFERROR(IF(H50="NEW HIRE",100,IF($P$2-H50&lt;=100,$P$2-H50,IF($P$2-H50&gt;=365,0,))), 0)</f>
        <v>0</v>
      </c>
      <c r="D50" t="s">
        <v>6</v>
      </c>
      <c r="E50" t="s">
        <v>2</v>
      </c>
      <c r="F50" t="s">
        <v>7</v>
      </c>
      <c r="G50" s="38">
        <f ca="1">IF(AND(MASTER!K50&lt;&gt;"X",MASTER!K50&lt;&gt;"",MASTER!$K$2&lt;&gt;BUCKET!H50, MASTER!$K$2&lt;=MASTER!$M$2),MASTER!$K$2,IF(AND(MASTER!J50&lt;&gt;"X",MASTER!J50&lt;&gt;"",MASTER!$J$2&lt;&gt;BUCKET!H50, MASTER!$J$2&lt;=MASTER!$M$2),MASTER!$J$2,IF(AND(MASTER!I50&lt;&gt;"X",MASTER!I50&lt;&gt;"",MASTER!$I$2&lt;&gt;BUCKET!H50, MASTER!$I$2&lt;=MASTER!$M$2),MASTER!$I$2, IF(AND(MASTER!H50&lt;&gt;"X", MASTER!H50&lt;&gt;"", MASTER!$H$2&lt;&gt;BUCKET!H50, MASTER!$H$2&lt;=MASTER!$M$2), MASTER!$H$2, IF(AND(MASTER!G50&lt;&gt;"X", MASTER!G50&lt;&gt;"", MASTER!$G$2&lt;&gt;BUCKET!H50, MASTER!$G$2&lt;=MASTER!$M$2), MASTER!$H$2, IF(AND(MASTER!G50&lt;&gt;"X", MASTER!G50&lt;&gt;"", MASTER!$G$2&lt;&gt;BUCKET!H50, MASTER!$F$2&lt;=MASTER!$M$2), MASTER!$G$2, IF(AND(MASTER!F50&lt;&gt;"X", MASTER!F50&lt;&gt;"", MASTER!$F$2&lt;&gt;BUCKET!H50, MASTER!$F$2&lt;=MASTER!$M$2), MASTER!$F$2, IF(AND(MASTER!E50&lt;&gt;"X", MASTER!E50&lt;&gt;"", MASTER!$E$2&lt;&gt;BUCKET!H50, MASTER!$E$2&lt;=MASTER!$M$2), MASTER!$E$2, IF(AND( MASTER!D50&lt;&gt;"", MASTER!D50&lt;&gt;BUCKET!H50), MASTER!D50, IF(AND(MASTER!C50&lt;&gt;"X", MASTER!C50&lt;&gt;""), MASTER!C50))))))))))</f>
        <v>44223</v>
      </c>
      <c r="H50" s="35">
        <f ca="1">IF(AND(MASTER!K51&lt;&gt;"X", MASTER!K51&lt;&gt;"", MASTER!$K$2&lt;=MASTER!$M$2), MASTER!$K$2, IF(AND(MASTER!J51&lt;&gt;"X", MASTER!J51&lt;&gt;"", MASTER!$J$2&lt;=MASTER!$M$2),MASTER!$J$2, IF(AND(MASTER!I51&lt;&gt;"X", MASTER!I51&lt;&gt;"", MASTER!$I$2&lt;=MASTER!$M$2),MASTER!$I$2, IF(AND(MASTER!H51&lt;&gt;"X", MASTER!H51&lt;&gt;"", MASTER!$H$2&lt;=MASTER!$M$2),MASTER!$H$2, IF(AND(MASTER!G51&lt;&gt;"X", MASTER!G51&lt;&gt;"", MASTER!$F$2&lt;=MASTER!$M$2),MASTER!$G$2, IF(AND(MASTER!F51&lt;&gt;"X", MASTER!F51&lt;&gt;"", MASTER!$F$2&lt;=MASTER!$M$2), MASTER!$F$2, IF(AND(MASTER!E51&lt;&gt;"X", MASTER!E51&lt;&gt;"", MASTER!$E$2&lt;=MASTER!$M$2),MASTER!$E$2, IF(MASTER!D51&lt;&gt;"", MASTER!D51,""))))))))</f>
        <v>44224</v>
      </c>
      <c r="I50" s="8" t="s">
        <v>12</v>
      </c>
      <c r="J50" s="27" t="b">
        <f ca="1">IFERROR(IF(H50="NEW HIRE",FALSE,IF(AND((H50-G50)&lt;=1),($P$2-H50)&lt;=1)), "")</f>
        <v>0</v>
      </c>
      <c r="K50" s="54" t="b">
        <v>0</v>
      </c>
      <c r="L50" s="30" t="str">
        <f ca="1">IFERROR(IF(AND(MASTER!$K$1=MASTER!$N$2,MASTER!K50="X"),"",IF(AND(MASTER!$J$1=MASTER!$N$2,MASTER!J50="X"),"",IF(AND(MASTER!$I$1=MASTER!$N$2,MASTER!I50="X"),"",IF(AND(MASTER!$H$1=MASTER!$N$2,MASTER!H50="X"),"",IF(AND(MASTER!$G$1=MASTER!$N$2,MASTER!G50="X"),"",IF(AND(MASTER!$F$1=MASTER!$N$2,MASTER!F50="X"),"",IF(AND(MASTER!$E$1=MASTER!$N$2,MASTER!E50="X"),"",IF(AND($Q$2&lt;&gt;D50,$Q$2&lt;&gt;E50,$Q$2&lt;&gt;F50,I50="6 to 2",J50=FALSE,K50=FALSE),B50,"")))))))), "")</f>
        <v/>
      </c>
      <c r="M50" s="34" t="str">
        <f ca="1">IFERROR(IF(AND(MASTER!$K$1=MASTER!$N$2,MASTER!K50="X"),"",IF(AND(MASTER!$J$1=MASTER!$N$2,MASTER!J50="X"),"",IF(AND(MASTER!$I$1=MASTER!$N$2,MASTER!I50="X"),"",IF(AND(MASTER!$H$1=MASTER!$N$2,MASTER!H50="X"),"",IF(AND(MASTER!$G$1=MASTER!$N$2,MASTER!G50="X"),"",IF(AND(MASTER!$F$1=MASTER!$N$2,MASTER!F50="X"),"",IF(AND(MASTER!$E$1=MASTER!$N$2,MASTER!E50="X"),"",IF(AND($Q$2&lt;&gt;D50,$Q$2&lt;&gt;E50,$Q$2&lt;&gt;F50,I50="2 to 10",J50=FALSE,K50=FALSE),B50,"")))))))), "")</f>
        <v/>
      </c>
      <c r="N50" s="44" t="str">
        <f ca="1">IFERROR(IF(AND(MASTER!$K$1=MASTER!$N$2,MASTER!K50="X"),"",IF(AND(MASTER!$J$1=MASTER!$N$2,MASTER!J50="X"),"",IF(AND(MASTER!$I$1=MASTER!$N$2,MASTER!I50="X"),"",IF(AND(MASTER!$H$1=MASTER!$N$2,MASTER!H50="X"),"",IF(AND(MASTER!$G$1=MASTER!$N$2,MASTER!G50="X"),"",IF(AND(MASTER!$F$1=MASTER!$N$2,MASTER!F50="X"),"",IF(AND(MASTER!$E$1=MASTER!$N$2,MASTER!E50="X"),"",IF(AND($Q$2&lt;&gt;D50,$Q$2&lt;&gt;E50,$Q$2&lt;&gt;F50,I50="10 to 6",J50=FALSE,K50=FALSE),B50,"")))))))), "")</f>
        <v/>
      </c>
    </row>
    <row r="51" spans="1:14" ht="16" thickBot="1" x14ac:dyDescent="0.25">
      <c r="A51">
        <v>50</v>
      </c>
      <c r="B51" s="51" t="s">
        <v>67</v>
      </c>
      <c r="C51" s="27">
        <f ca="1">IFERROR(IF(H51="NEW HIRE",100,IF($P$2-H51&lt;=100,$P$2-H51,IF($P$2-H51&gt;=365,0,))), 0)</f>
        <v>0</v>
      </c>
      <c r="D51" t="s">
        <v>3</v>
      </c>
      <c r="E51" t="s">
        <v>4</v>
      </c>
      <c r="F51" t="s">
        <v>5</v>
      </c>
      <c r="G51" s="38">
        <f ca="1">IF(AND(MASTER!K51&lt;&gt;"X",MASTER!K51&lt;&gt;"",MASTER!$K$2&lt;&gt;BUCKET!H51, MASTER!$K$2&lt;=MASTER!$M$2),MASTER!$K$2,IF(AND(MASTER!J51&lt;&gt;"X",MASTER!J51&lt;&gt;"",MASTER!$J$2&lt;&gt;BUCKET!H51, MASTER!$J$2&lt;=MASTER!$M$2),MASTER!$J$2,IF(AND(MASTER!I51&lt;&gt;"X",MASTER!I51&lt;&gt;"",MASTER!$I$2&lt;&gt;BUCKET!H51, MASTER!$I$2&lt;=MASTER!$M$2),MASTER!$I$2, IF(AND(MASTER!H51&lt;&gt;"X", MASTER!H51&lt;&gt;"", MASTER!$H$2&lt;&gt;BUCKET!H51, MASTER!$H$2&lt;=MASTER!$M$2), MASTER!$H$2, IF(AND(MASTER!G51&lt;&gt;"X", MASTER!G51&lt;&gt;"", MASTER!$G$2&lt;&gt;BUCKET!H51, MASTER!$G$2&lt;=MASTER!$M$2), MASTER!$H$2, IF(AND(MASTER!G51&lt;&gt;"X", MASTER!G51&lt;&gt;"", MASTER!$G$2&lt;&gt;BUCKET!H51, MASTER!$F$2&lt;=MASTER!$M$2), MASTER!$G$2, IF(AND(MASTER!F51&lt;&gt;"X", MASTER!F51&lt;&gt;"", MASTER!$F$2&lt;&gt;BUCKET!H51, MASTER!$F$2&lt;=MASTER!$M$2), MASTER!$F$2, IF(AND(MASTER!E51&lt;&gt;"X", MASTER!E51&lt;&gt;"", MASTER!$E$2&lt;&gt;BUCKET!H51, MASTER!$E$2&lt;=MASTER!$M$2), MASTER!$E$2, IF(AND( MASTER!D51&lt;&gt;"", MASTER!D51&lt;&gt;BUCKET!H51), MASTER!D51, IF(AND(MASTER!C51&lt;&gt;"X", MASTER!C51&lt;&gt;""), MASTER!C51))))))))))</f>
        <v>44224</v>
      </c>
      <c r="H51" s="35">
        <f ca="1">IF(AND(MASTER!K52&lt;&gt;"X", MASTER!K52&lt;&gt;"", MASTER!$K$2&lt;=MASTER!$M$2), MASTER!$K$2, IF(AND(MASTER!J52&lt;&gt;"X", MASTER!J52&lt;&gt;"", MASTER!$J$2&lt;=MASTER!$M$2),MASTER!$J$2, IF(AND(MASTER!I52&lt;&gt;"X", MASTER!I52&lt;&gt;"", MASTER!$I$2&lt;=MASTER!$M$2),MASTER!$I$2, IF(AND(MASTER!H52&lt;&gt;"X", MASTER!H52&lt;&gt;"", MASTER!$H$2&lt;=MASTER!$M$2),MASTER!$H$2, IF(AND(MASTER!G52&lt;&gt;"X", MASTER!G52&lt;&gt;"", MASTER!$F$2&lt;=MASTER!$M$2),MASTER!$G$2, IF(AND(MASTER!F52&lt;&gt;"X", MASTER!F52&lt;&gt;"", MASTER!$F$2&lt;=MASTER!$M$2), MASTER!$F$2, IF(AND(MASTER!E52&lt;&gt;"X", MASTER!E52&lt;&gt;"", MASTER!$E$2&lt;=MASTER!$M$2),MASTER!$E$2, IF(MASTER!D52&lt;&gt;"", MASTER!D52,""))))))))</f>
        <v>44225</v>
      </c>
      <c r="I51" s="8" t="s">
        <v>12</v>
      </c>
      <c r="J51" s="27" t="b">
        <f ca="1">IFERROR(IF(H51="NEW HIRE",FALSE,IF(AND((H51-G51)&lt;=1),($P$2-H51)&lt;=1)), "")</f>
        <v>0</v>
      </c>
      <c r="K51" s="54" t="b">
        <v>0</v>
      </c>
      <c r="L51" s="30" t="str">
        <f ca="1">IFERROR(IF(AND(MASTER!$K$1=MASTER!$N$2,MASTER!K51="X"),"",IF(AND(MASTER!$J$1=MASTER!$N$2,MASTER!J51="X"),"",IF(AND(MASTER!$I$1=MASTER!$N$2,MASTER!I51="X"),"",IF(AND(MASTER!$H$1=MASTER!$N$2,MASTER!H51="X"),"",IF(AND(MASTER!$G$1=MASTER!$N$2,MASTER!G51="X"),"",IF(AND(MASTER!$F$1=MASTER!$N$2,MASTER!F51="X"),"",IF(AND(MASTER!$E$1=MASTER!$N$2,MASTER!E51="X"),"",IF(AND($Q$2&lt;&gt;D51,$Q$2&lt;&gt;E51,$Q$2&lt;&gt;F51,I51="6 to 2",J51=FALSE,K51=FALSE),B51,"")))))))), "")</f>
        <v/>
      </c>
      <c r="M51" s="34" t="str">
        <f ca="1">IFERROR(IF(AND(MASTER!$K$1=MASTER!$N$2,MASTER!K51="X"),"",IF(AND(MASTER!$J$1=MASTER!$N$2,MASTER!J51="X"),"",IF(AND(MASTER!$I$1=MASTER!$N$2,MASTER!I51="X"),"",IF(AND(MASTER!$H$1=MASTER!$N$2,MASTER!H51="X"),"",IF(AND(MASTER!$G$1=MASTER!$N$2,MASTER!G51="X"),"",IF(AND(MASTER!$F$1=MASTER!$N$2,MASTER!F51="X"),"",IF(AND(MASTER!$E$1=MASTER!$N$2,MASTER!E51="X"),"",IF(AND($Q$2&lt;&gt;D51,$Q$2&lt;&gt;E51,$Q$2&lt;&gt;F51,I51="2 to 10",J51=FALSE,K51=FALSE),B51,"")))))))), "")</f>
        <v>Reese Martin</v>
      </c>
      <c r="N51" s="44" t="str">
        <f ca="1">IFERROR(IF(AND(MASTER!$K$1=MASTER!$N$2,MASTER!K51="X"),"",IF(AND(MASTER!$J$1=MASTER!$N$2,MASTER!J51="X"),"",IF(AND(MASTER!$I$1=MASTER!$N$2,MASTER!I51="X"),"",IF(AND(MASTER!$H$1=MASTER!$N$2,MASTER!H51="X"),"",IF(AND(MASTER!$G$1=MASTER!$N$2,MASTER!G51="X"),"",IF(AND(MASTER!$F$1=MASTER!$N$2,MASTER!F51="X"),"",IF(AND(MASTER!$E$1=MASTER!$N$2,MASTER!E51="X"),"",IF(AND($Q$2&lt;&gt;D51,$Q$2&lt;&gt;E51,$Q$2&lt;&gt;F51,I51="10 to 6",J51=FALSE,K51=FALSE),B51,"")))))))), "")</f>
        <v/>
      </c>
    </row>
    <row r="52" spans="1:14" ht="16" thickBot="1" x14ac:dyDescent="0.25">
      <c r="A52">
        <v>51</v>
      </c>
      <c r="B52" s="51" t="s">
        <v>52</v>
      </c>
      <c r="C52" s="27">
        <f ca="1">IFERROR(IF(H52="NEW HIRE",100,IF($P$2-H52&lt;=100,$P$2-H52,IF($P$2-H52&gt;=365,0,))), 0)</f>
        <v>0</v>
      </c>
      <c r="D52" t="s">
        <v>3</v>
      </c>
      <c r="E52" t="s">
        <v>4</v>
      </c>
      <c r="F52" t="s">
        <v>5</v>
      </c>
      <c r="G52" s="38">
        <f ca="1">IF(AND(MASTER!K52&lt;&gt;"X",MASTER!K52&lt;&gt;"",MASTER!$K$2&lt;&gt;BUCKET!H52, MASTER!$K$2&lt;=MASTER!$M$2),MASTER!$K$2,IF(AND(MASTER!J52&lt;&gt;"X",MASTER!J52&lt;&gt;"",MASTER!$J$2&lt;&gt;BUCKET!H52, MASTER!$J$2&lt;=MASTER!$M$2),MASTER!$J$2,IF(AND(MASTER!I52&lt;&gt;"X",MASTER!I52&lt;&gt;"",MASTER!$I$2&lt;&gt;BUCKET!H52, MASTER!$I$2&lt;=MASTER!$M$2),MASTER!$I$2, IF(AND(MASTER!H52&lt;&gt;"X", MASTER!H52&lt;&gt;"", MASTER!$H$2&lt;&gt;BUCKET!H52, MASTER!$H$2&lt;=MASTER!$M$2), MASTER!$H$2, IF(AND(MASTER!G52&lt;&gt;"X", MASTER!G52&lt;&gt;"", MASTER!$G$2&lt;&gt;BUCKET!H52, MASTER!$G$2&lt;=MASTER!$M$2), MASTER!$H$2, IF(AND(MASTER!G52&lt;&gt;"X", MASTER!G52&lt;&gt;"", MASTER!$G$2&lt;&gt;BUCKET!H52, MASTER!$F$2&lt;=MASTER!$M$2), MASTER!$G$2, IF(AND(MASTER!F52&lt;&gt;"X", MASTER!F52&lt;&gt;"", MASTER!$F$2&lt;&gt;BUCKET!H52, MASTER!$F$2&lt;=MASTER!$M$2), MASTER!$F$2, IF(AND(MASTER!E52&lt;&gt;"X", MASTER!E52&lt;&gt;"", MASTER!$E$2&lt;&gt;BUCKET!H52, MASTER!$E$2&lt;=MASTER!$M$2), MASTER!$E$2, IF(AND( MASTER!D52&lt;&gt;"", MASTER!D52&lt;&gt;BUCKET!H52), MASTER!D52, IF(AND(MASTER!C52&lt;&gt;"X", MASTER!C52&lt;&gt;""), MASTER!C52))))))))))</f>
        <v>44225</v>
      </c>
      <c r="H52" s="35">
        <f ca="1">IF(AND(MASTER!K53&lt;&gt;"X", MASTER!K53&lt;&gt;"", MASTER!$K$2&lt;=MASTER!$M$2), MASTER!$K$2, IF(AND(MASTER!J53&lt;&gt;"X", MASTER!J53&lt;&gt;"", MASTER!$J$2&lt;=MASTER!$M$2),MASTER!$J$2, IF(AND(MASTER!I53&lt;&gt;"X", MASTER!I53&lt;&gt;"", MASTER!$I$2&lt;=MASTER!$M$2),MASTER!$I$2, IF(AND(MASTER!H53&lt;&gt;"X", MASTER!H53&lt;&gt;"", MASTER!$H$2&lt;=MASTER!$M$2),MASTER!$H$2, IF(AND(MASTER!G53&lt;&gt;"X", MASTER!G53&lt;&gt;"", MASTER!$F$2&lt;=MASTER!$M$2),MASTER!$G$2, IF(AND(MASTER!F53&lt;&gt;"X", MASTER!F53&lt;&gt;"", MASTER!$F$2&lt;=MASTER!$M$2), MASTER!$F$2, IF(AND(MASTER!E53&lt;&gt;"X", MASTER!E53&lt;&gt;"", MASTER!$E$2&lt;=MASTER!$M$2),MASTER!$E$2, IF(MASTER!D53&lt;&gt;"", MASTER!D53,""))))))))</f>
        <v>44226</v>
      </c>
      <c r="I52" s="8" t="s">
        <v>13</v>
      </c>
      <c r="J52" s="27" t="b">
        <f ca="1">IFERROR(IF(H52="NEW HIRE",FALSE,IF(AND((H52-G52)&lt;=1),($P$2-H52)&lt;=1)), "")</f>
        <v>0</v>
      </c>
      <c r="K52" s="54" t="b">
        <v>0</v>
      </c>
      <c r="L52" s="30" t="str">
        <f ca="1">IFERROR(IF(AND(MASTER!$K$1=MASTER!$N$2,MASTER!K52="X"),"",IF(AND(MASTER!$J$1=MASTER!$N$2,MASTER!J52="X"),"",IF(AND(MASTER!$I$1=MASTER!$N$2,MASTER!I52="X"),"",IF(AND(MASTER!$H$1=MASTER!$N$2,MASTER!H52="X"),"",IF(AND(MASTER!$G$1=MASTER!$N$2,MASTER!G52="X"),"",IF(AND(MASTER!$F$1=MASTER!$N$2,MASTER!F52="X"),"",IF(AND(MASTER!$E$1=MASTER!$N$2,MASTER!E52="X"),"",IF(AND($Q$2&lt;&gt;D52,$Q$2&lt;&gt;E52,$Q$2&lt;&gt;F52,I52="6 to 2",J52=FALSE,K52=FALSE),B52,"")))))))), "")</f>
        <v>Chris Davis</v>
      </c>
      <c r="M52" s="34" t="str">
        <f ca="1">IFERROR(IF(AND(MASTER!$K$1=MASTER!$N$2,MASTER!K52="X"),"",IF(AND(MASTER!$J$1=MASTER!$N$2,MASTER!J52="X"),"",IF(AND(MASTER!$I$1=MASTER!$N$2,MASTER!I52="X"),"",IF(AND(MASTER!$H$1=MASTER!$N$2,MASTER!H52="X"),"",IF(AND(MASTER!$G$1=MASTER!$N$2,MASTER!G52="X"),"",IF(AND(MASTER!$F$1=MASTER!$N$2,MASTER!F52="X"),"",IF(AND(MASTER!$E$1=MASTER!$N$2,MASTER!E52="X"),"",IF(AND($Q$2&lt;&gt;D52,$Q$2&lt;&gt;E52,$Q$2&lt;&gt;F52,I52="2 to 10",J52=FALSE,K52=FALSE),B52,"")))))))), "")</f>
        <v/>
      </c>
      <c r="N52" s="44" t="str">
        <f ca="1">IFERROR(IF(AND(MASTER!$K$1=MASTER!$N$2,MASTER!K52="X"),"",IF(AND(MASTER!$J$1=MASTER!$N$2,MASTER!J52="X"),"",IF(AND(MASTER!$I$1=MASTER!$N$2,MASTER!I52="X"),"",IF(AND(MASTER!$H$1=MASTER!$N$2,MASTER!H52="X"),"",IF(AND(MASTER!$G$1=MASTER!$N$2,MASTER!G52="X"),"",IF(AND(MASTER!$F$1=MASTER!$N$2,MASTER!F52="X"),"",IF(AND(MASTER!$E$1=MASTER!$N$2,MASTER!E52="X"),"",IF(AND($Q$2&lt;&gt;D52,$Q$2&lt;&gt;E52,$Q$2&lt;&gt;F52,I52="10 to 6",J52=FALSE,K52=FALSE),B52,"")))))))), "")</f>
        <v/>
      </c>
    </row>
    <row r="53" spans="1:14" ht="16" thickBot="1" x14ac:dyDescent="0.25">
      <c r="A53">
        <v>52</v>
      </c>
      <c r="B53" s="51" t="s">
        <v>82</v>
      </c>
      <c r="C53" s="27">
        <f ca="1">IFERROR(IF(H53="NEW HIRE",100,IF($P$2-H53&lt;=100,$P$2-H53,IF($P$2-H53&gt;=365,0,))), 0)</f>
        <v>0</v>
      </c>
      <c r="D53" t="s">
        <v>8</v>
      </c>
      <c r="E53" t="s">
        <v>3</v>
      </c>
      <c r="F53" t="s">
        <v>4</v>
      </c>
      <c r="G53" s="38">
        <f ca="1">IF(AND(MASTER!K53&lt;&gt;"X",MASTER!K53&lt;&gt;"",MASTER!$K$2&lt;&gt;BUCKET!H53, MASTER!$K$2&lt;=MASTER!$M$2),MASTER!$K$2,IF(AND(MASTER!J53&lt;&gt;"X",MASTER!J53&lt;&gt;"",MASTER!$J$2&lt;&gt;BUCKET!H53, MASTER!$J$2&lt;=MASTER!$M$2),MASTER!$J$2,IF(AND(MASTER!I53&lt;&gt;"X",MASTER!I53&lt;&gt;"",MASTER!$I$2&lt;&gt;BUCKET!H53, MASTER!$I$2&lt;=MASTER!$M$2),MASTER!$I$2, IF(AND(MASTER!H53&lt;&gt;"X", MASTER!H53&lt;&gt;"", MASTER!$H$2&lt;&gt;BUCKET!H53, MASTER!$H$2&lt;=MASTER!$M$2), MASTER!$H$2, IF(AND(MASTER!G53&lt;&gt;"X", MASTER!G53&lt;&gt;"", MASTER!$G$2&lt;&gt;BUCKET!H53, MASTER!$G$2&lt;=MASTER!$M$2), MASTER!$H$2, IF(AND(MASTER!G53&lt;&gt;"X", MASTER!G53&lt;&gt;"", MASTER!$G$2&lt;&gt;BUCKET!H53, MASTER!$F$2&lt;=MASTER!$M$2), MASTER!$G$2, IF(AND(MASTER!F53&lt;&gt;"X", MASTER!F53&lt;&gt;"", MASTER!$F$2&lt;&gt;BUCKET!H53, MASTER!$F$2&lt;=MASTER!$M$2), MASTER!$F$2, IF(AND(MASTER!E53&lt;&gt;"X", MASTER!E53&lt;&gt;"", MASTER!$E$2&lt;&gt;BUCKET!H53, MASTER!$E$2&lt;=MASTER!$M$2), MASTER!$E$2, IF(AND( MASTER!D53&lt;&gt;"", MASTER!D53&lt;&gt;BUCKET!H53), MASTER!D53, IF(AND(MASTER!C53&lt;&gt;"X", MASTER!C53&lt;&gt;""), MASTER!C53))))))))))</f>
        <v>44226</v>
      </c>
      <c r="H53" s="35">
        <f ca="1">IF(AND(MASTER!K54&lt;&gt;"X", MASTER!K54&lt;&gt;"", MASTER!$K$2&lt;=MASTER!$M$2), MASTER!$K$2, IF(AND(MASTER!J54&lt;&gt;"X", MASTER!J54&lt;&gt;"", MASTER!$J$2&lt;=MASTER!$M$2),MASTER!$J$2, IF(AND(MASTER!I54&lt;&gt;"X", MASTER!I54&lt;&gt;"", MASTER!$I$2&lt;=MASTER!$M$2),MASTER!$I$2, IF(AND(MASTER!H54&lt;&gt;"X", MASTER!H54&lt;&gt;"", MASTER!$H$2&lt;=MASTER!$M$2),MASTER!$H$2, IF(AND(MASTER!G54&lt;&gt;"X", MASTER!G54&lt;&gt;"", MASTER!$F$2&lt;=MASTER!$M$2),MASTER!$G$2, IF(AND(MASTER!F54&lt;&gt;"X", MASTER!F54&lt;&gt;"", MASTER!$F$2&lt;=MASTER!$M$2), MASTER!$F$2, IF(AND(MASTER!E54&lt;&gt;"X", MASTER!E54&lt;&gt;"", MASTER!$E$2&lt;=MASTER!$M$2),MASTER!$E$2, IF(MASTER!D54&lt;&gt;"", MASTER!D54,""))))))))</f>
        <v>44227</v>
      </c>
      <c r="I53" s="8" t="s">
        <v>13</v>
      </c>
      <c r="J53" s="27" t="b">
        <f ca="1">IFERROR(IF(H53="NEW HIRE",FALSE,IF(AND((H53-G53)&lt;=1),($P$2-H53)&lt;=1)), "")</f>
        <v>0</v>
      </c>
      <c r="K53" s="54" t="b">
        <v>0</v>
      </c>
      <c r="L53" s="30" t="str">
        <f ca="1">IFERROR(IF(AND(MASTER!$K$1=MASTER!$N$2,MASTER!K53="X"),"",IF(AND(MASTER!$J$1=MASTER!$N$2,MASTER!J53="X"),"",IF(AND(MASTER!$I$1=MASTER!$N$2,MASTER!I53="X"),"",IF(AND(MASTER!$H$1=MASTER!$N$2,MASTER!H53="X"),"",IF(AND(MASTER!$G$1=MASTER!$N$2,MASTER!G53="X"),"",IF(AND(MASTER!$F$1=MASTER!$N$2,MASTER!F53="X"),"",IF(AND(MASTER!$E$1=MASTER!$N$2,MASTER!E53="X"),"",IF(AND($Q$2&lt;&gt;D53,$Q$2&lt;&gt;E53,$Q$2&lt;&gt;F53,I53="6 to 2",J53=FALSE,K53=FALSE),B53,"")))))))), "")</f>
        <v>Drew Jackson</v>
      </c>
      <c r="M53" s="34" t="str">
        <f ca="1">IFERROR(IF(AND(MASTER!$K$1=MASTER!$N$2,MASTER!K53="X"),"",IF(AND(MASTER!$J$1=MASTER!$N$2,MASTER!J53="X"),"",IF(AND(MASTER!$I$1=MASTER!$N$2,MASTER!I53="X"),"",IF(AND(MASTER!$H$1=MASTER!$N$2,MASTER!H53="X"),"",IF(AND(MASTER!$G$1=MASTER!$N$2,MASTER!G53="X"),"",IF(AND(MASTER!$F$1=MASTER!$N$2,MASTER!F53="X"),"",IF(AND(MASTER!$E$1=MASTER!$N$2,MASTER!E53="X"),"",IF(AND($Q$2&lt;&gt;D53,$Q$2&lt;&gt;E53,$Q$2&lt;&gt;F53,I53="2 to 10",J53=FALSE,K53=FALSE),B53,"")))))))), "")</f>
        <v/>
      </c>
      <c r="N53" s="44" t="str">
        <f ca="1">IFERROR(IF(AND(MASTER!$K$1=MASTER!$N$2,MASTER!K53="X"),"",IF(AND(MASTER!$J$1=MASTER!$N$2,MASTER!J53="X"),"",IF(AND(MASTER!$I$1=MASTER!$N$2,MASTER!I53="X"),"",IF(AND(MASTER!$H$1=MASTER!$N$2,MASTER!H53="X"),"",IF(AND(MASTER!$G$1=MASTER!$N$2,MASTER!G53="X"),"",IF(AND(MASTER!$F$1=MASTER!$N$2,MASTER!F53="X"),"",IF(AND(MASTER!$E$1=MASTER!$N$2,MASTER!E53="X"),"",IF(AND($Q$2&lt;&gt;D53,$Q$2&lt;&gt;E53,$Q$2&lt;&gt;F53,I53="10 to 6",J53=FALSE,K53=FALSE),B53,"")))))))), "")</f>
        <v/>
      </c>
    </row>
    <row r="54" spans="1:14" ht="16" thickBot="1" x14ac:dyDescent="0.25">
      <c r="A54">
        <v>53</v>
      </c>
      <c r="B54" s="51" t="s">
        <v>42</v>
      </c>
      <c r="C54" s="27">
        <f ca="1">IFERROR(IF(H54="NEW HIRE",100,IF($P$2-H54&lt;=100,$P$2-H54,IF($P$2-H54&gt;=365,0,))), 0)</f>
        <v>0</v>
      </c>
      <c r="D54" t="s">
        <v>4</v>
      </c>
      <c r="E54" t="s">
        <v>5</v>
      </c>
      <c r="F54" t="s">
        <v>6</v>
      </c>
      <c r="G54" s="38">
        <f ca="1">IF(AND(MASTER!K54&lt;&gt;"X",MASTER!K54&lt;&gt;"",MASTER!$K$2&lt;&gt;BUCKET!H54, MASTER!$K$2&lt;=MASTER!$M$2),MASTER!$K$2,IF(AND(MASTER!J54&lt;&gt;"X",MASTER!J54&lt;&gt;"",MASTER!$J$2&lt;&gt;BUCKET!H54, MASTER!$J$2&lt;=MASTER!$M$2),MASTER!$J$2,IF(AND(MASTER!I54&lt;&gt;"X",MASTER!I54&lt;&gt;"",MASTER!$I$2&lt;&gt;BUCKET!H54, MASTER!$I$2&lt;=MASTER!$M$2),MASTER!$I$2, IF(AND(MASTER!H54&lt;&gt;"X", MASTER!H54&lt;&gt;"", MASTER!$H$2&lt;&gt;BUCKET!H54, MASTER!$H$2&lt;=MASTER!$M$2), MASTER!$H$2, IF(AND(MASTER!G54&lt;&gt;"X", MASTER!G54&lt;&gt;"", MASTER!$G$2&lt;&gt;BUCKET!H54, MASTER!$G$2&lt;=MASTER!$M$2), MASTER!$H$2, IF(AND(MASTER!G54&lt;&gt;"X", MASTER!G54&lt;&gt;"", MASTER!$G$2&lt;&gt;BUCKET!H54, MASTER!$F$2&lt;=MASTER!$M$2), MASTER!$G$2, IF(AND(MASTER!F54&lt;&gt;"X", MASTER!F54&lt;&gt;"", MASTER!$F$2&lt;&gt;BUCKET!H54, MASTER!$F$2&lt;=MASTER!$M$2), MASTER!$F$2, IF(AND(MASTER!E54&lt;&gt;"X", MASTER!E54&lt;&gt;"", MASTER!$E$2&lt;&gt;BUCKET!H54, MASTER!$E$2&lt;=MASTER!$M$2), MASTER!$E$2, IF(AND( MASTER!D54&lt;&gt;"", MASTER!D54&lt;&gt;BUCKET!H54), MASTER!D54, IF(AND(MASTER!C54&lt;&gt;"X", MASTER!C54&lt;&gt;""), MASTER!C54))))))))))</f>
        <v>44227</v>
      </c>
      <c r="H54" s="35">
        <f ca="1">IF(AND(MASTER!K55&lt;&gt;"X", MASTER!K55&lt;&gt;"", MASTER!$K$2&lt;=MASTER!$M$2), MASTER!$K$2, IF(AND(MASTER!J55&lt;&gt;"X", MASTER!J55&lt;&gt;"", MASTER!$J$2&lt;=MASTER!$M$2),MASTER!$J$2, IF(AND(MASTER!I55&lt;&gt;"X", MASTER!I55&lt;&gt;"", MASTER!$I$2&lt;=MASTER!$M$2),MASTER!$I$2, IF(AND(MASTER!H55&lt;&gt;"X", MASTER!H55&lt;&gt;"", MASTER!$H$2&lt;=MASTER!$M$2),MASTER!$H$2, IF(AND(MASTER!G55&lt;&gt;"X", MASTER!G55&lt;&gt;"", MASTER!$F$2&lt;=MASTER!$M$2),MASTER!$G$2, IF(AND(MASTER!F55&lt;&gt;"X", MASTER!F55&lt;&gt;"", MASTER!$F$2&lt;=MASTER!$M$2), MASTER!$F$2, IF(AND(MASTER!E55&lt;&gt;"X", MASTER!E55&lt;&gt;"", MASTER!$E$2&lt;=MASTER!$M$2),MASTER!$E$2, IF(MASTER!D55&lt;&gt;"", MASTER!D55,""))))))))</f>
        <v>44228</v>
      </c>
      <c r="I54" s="8" t="s">
        <v>13</v>
      </c>
      <c r="J54" s="27" t="b">
        <f ca="1">IFERROR(IF(H54="NEW HIRE",FALSE,IF(AND((H54-G54)&lt;=1),($P$2-H54)&lt;=1)), "")</f>
        <v>0</v>
      </c>
      <c r="K54" s="54" t="b">
        <v>0</v>
      </c>
      <c r="L54" s="30" t="str">
        <f ca="1">IFERROR(IF(AND(MASTER!$K$1=MASTER!$N$2,MASTER!K54="X"),"",IF(AND(MASTER!$J$1=MASTER!$N$2,MASTER!J54="X"),"",IF(AND(MASTER!$I$1=MASTER!$N$2,MASTER!I54="X"),"",IF(AND(MASTER!$H$1=MASTER!$N$2,MASTER!H54="X"),"",IF(AND(MASTER!$G$1=MASTER!$N$2,MASTER!G54="X"),"",IF(AND(MASTER!$F$1=MASTER!$N$2,MASTER!F54="X"),"",IF(AND(MASTER!$E$1=MASTER!$N$2,MASTER!E54="X"),"",IF(AND($Q$2&lt;&gt;D54,$Q$2&lt;&gt;E54,$Q$2&lt;&gt;F54,I54="6 to 2",J54=FALSE,K54=FALSE),B54,"")))))))), "")</f>
        <v/>
      </c>
      <c r="M54" s="34" t="str">
        <f ca="1">IFERROR(IF(AND(MASTER!$K$1=MASTER!$N$2,MASTER!K54="X"),"",IF(AND(MASTER!$J$1=MASTER!$N$2,MASTER!J54="X"),"",IF(AND(MASTER!$I$1=MASTER!$N$2,MASTER!I54="X"),"",IF(AND(MASTER!$H$1=MASTER!$N$2,MASTER!H54="X"),"",IF(AND(MASTER!$G$1=MASTER!$N$2,MASTER!G54="X"),"",IF(AND(MASTER!$F$1=MASTER!$N$2,MASTER!F54="X"),"",IF(AND(MASTER!$E$1=MASTER!$N$2,MASTER!E54="X"),"",IF(AND($Q$2&lt;&gt;D54,$Q$2&lt;&gt;E54,$Q$2&lt;&gt;F54,I54="2 to 10",J54=FALSE,K54=FALSE),B54,"")))))))), "")</f>
        <v/>
      </c>
      <c r="N54" s="44" t="str">
        <f ca="1">IFERROR(IF(AND(MASTER!$K$1=MASTER!$N$2,MASTER!K54="X"),"",IF(AND(MASTER!$J$1=MASTER!$N$2,MASTER!J54="X"),"",IF(AND(MASTER!$I$1=MASTER!$N$2,MASTER!I54="X"),"",IF(AND(MASTER!$H$1=MASTER!$N$2,MASTER!H54="X"),"",IF(AND(MASTER!$G$1=MASTER!$N$2,MASTER!G54="X"),"",IF(AND(MASTER!$F$1=MASTER!$N$2,MASTER!F54="X"),"",IF(AND(MASTER!$E$1=MASTER!$N$2,MASTER!E54="X"),"",IF(AND($Q$2&lt;&gt;D54,$Q$2&lt;&gt;E54,$Q$2&lt;&gt;F54,I54="10 to 6",J54=FALSE,K54=FALSE),B54,"")))))))), "")</f>
        <v/>
      </c>
    </row>
    <row r="55" spans="1:14" ht="16" thickBot="1" x14ac:dyDescent="0.25">
      <c r="A55">
        <v>54</v>
      </c>
      <c r="B55" s="51" t="s">
        <v>83</v>
      </c>
      <c r="C55" s="27">
        <f ca="1">IFERROR(IF(H55="NEW HIRE",100,IF($P$2-H55&lt;=100,$P$2-H55,IF($P$2-H55&gt;=365,0,))), 0)</f>
        <v>0</v>
      </c>
      <c r="D55" t="s">
        <v>3</v>
      </c>
      <c r="E55" t="s">
        <v>4</v>
      </c>
      <c r="F55" t="s">
        <v>5</v>
      </c>
      <c r="G55" s="38">
        <f ca="1">IF(AND(MASTER!K55&lt;&gt;"X",MASTER!K55&lt;&gt;"",MASTER!$K$2&lt;&gt;BUCKET!H55, MASTER!$K$2&lt;=MASTER!$M$2),MASTER!$K$2,IF(AND(MASTER!J55&lt;&gt;"X",MASTER!J55&lt;&gt;"",MASTER!$J$2&lt;&gt;BUCKET!H55, MASTER!$J$2&lt;=MASTER!$M$2),MASTER!$J$2,IF(AND(MASTER!I55&lt;&gt;"X",MASTER!I55&lt;&gt;"",MASTER!$I$2&lt;&gt;BUCKET!H55, MASTER!$I$2&lt;=MASTER!$M$2),MASTER!$I$2, IF(AND(MASTER!H55&lt;&gt;"X", MASTER!H55&lt;&gt;"", MASTER!$H$2&lt;&gt;BUCKET!H55, MASTER!$H$2&lt;=MASTER!$M$2), MASTER!$H$2, IF(AND(MASTER!G55&lt;&gt;"X", MASTER!G55&lt;&gt;"", MASTER!$G$2&lt;&gt;BUCKET!H55, MASTER!$G$2&lt;=MASTER!$M$2), MASTER!$H$2, IF(AND(MASTER!G55&lt;&gt;"X", MASTER!G55&lt;&gt;"", MASTER!$G$2&lt;&gt;BUCKET!H55, MASTER!$F$2&lt;=MASTER!$M$2), MASTER!$G$2, IF(AND(MASTER!F55&lt;&gt;"X", MASTER!F55&lt;&gt;"", MASTER!$F$2&lt;&gt;BUCKET!H55, MASTER!$F$2&lt;=MASTER!$M$2), MASTER!$F$2, IF(AND(MASTER!E55&lt;&gt;"X", MASTER!E55&lt;&gt;"", MASTER!$E$2&lt;&gt;BUCKET!H55, MASTER!$E$2&lt;=MASTER!$M$2), MASTER!$E$2, IF(AND( MASTER!D55&lt;&gt;"", MASTER!D55&lt;&gt;BUCKET!H55), MASTER!D55, IF(AND(MASTER!C55&lt;&gt;"X", MASTER!C55&lt;&gt;""), MASTER!C55))))))))))</f>
        <v>44228</v>
      </c>
      <c r="H55" s="35">
        <f ca="1">IF(AND(MASTER!K56&lt;&gt;"X", MASTER!K56&lt;&gt;"", MASTER!$K$2&lt;=MASTER!$M$2), MASTER!$K$2, IF(AND(MASTER!J56&lt;&gt;"X", MASTER!J56&lt;&gt;"", MASTER!$J$2&lt;=MASTER!$M$2),MASTER!$J$2, IF(AND(MASTER!I56&lt;&gt;"X", MASTER!I56&lt;&gt;"", MASTER!$I$2&lt;=MASTER!$M$2),MASTER!$I$2, IF(AND(MASTER!H56&lt;&gt;"X", MASTER!H56&lt;&gt;"", MASTER!$H$2&lt;=MASTER!$M$2),MASTER!$H$2, IF(AND(MASTER!G56&lt;&gt;"X", MASTER!G56&lt;&gt;"", MASTER!$F$2&lt;=MASTER!$M$2),MASTER!$G$2, IF(AND(MASTER!F56&lt;&gt;"X", MASTER!F56&lt;&gt;"", MASTER!$F$2&lt;=MASTER!$M$2), MASTER!$F$2, IF(AND(MASTER!E56&lt;&gt;"X", MASTER!E56&lt;&gt;"", MASTER!$E$2&lt;=MASTER!$M$2),MASTER!$E$2, IF(MASTER!D56&lt;&gt;"", MASTER!D56,""))))))))</f>
        <v>44229</v>
      </c>
      <c r="I55" s="8" t="s">
        <v>12</v>
      </c>
      <c r="J55" s="27" t="b">
        <f ca="1">IFERROR(IF(H55="NEW HIRE",FALSE,IF(AND((H55-G55)&lt;=1),($P$2-H55)&lt;=1)), "")</f>
        <v>0</v>
      </c>
      <c r="K55" s="54" t="b">
        <v>0</v>
      </c>
      <c r="L55" s="30" t="str">
        <f ca="1">IFERROR(IF(AND(MASTER!$K$1=MASTER!$N$2,MASTER!K55="X"),"",IF(AND(MASTER!$J$1=MASTER!$N$2,MASTER!J55="X"),"",IF(AND(MASTER!$I$1=MASTER!$N$2,MASTER!I55="X"),"",IF(AND(MASTER!$H$1=MASTER!$N$2,MASTER!H55="X"),"",IF(AND(MASTER!$G$1=MASTER!$N$2,MASTER!G55="X"),"",IF(AND(MASTER!$F$1=MASTER!$N$2,MASTER!F55="X"),"",IF(AND(MASTER!$E$1=MASTER!$N$2,MASTER!E55="X"),"",IF(AND($Q$2&lt;&gt;D55,$Q$2&lt;&gt;E55,$Q$2&lt;&gt;F55,I55="6 to 2",J55=FALSE,K55=FALSE),B55,"")))))))), "")</f>
        <v/>
      </c>
      <c r="M55" s="34" t="str">
        <f ca="1">IFERROR(IF(AND(MASTER!$K$1=MASTER!$N$2,MASTER!K55="X"),"",IF(AND(MASTER!$J$1=MASTER!$N$2,MASTER!J55="X"),"",IF(AND(MASTER!$I$1=MASTER!$N$2,MASTER!I55="X"),"",IF(AND(MASTER!$H$1=MASTER!$N$2,MASTER!H55="X"),"",IF(AND(MASTER!$G$1=MASTER!$N$2,MASTER!G55="X"),"",IF(AND(MASTER!$F$1=MASTER!$N$2,MASTER!F55="X"),"",IF(AND(MASTER!$E$1=MASTER!$N$2,MASTER!E55="X"),"",IF(AND($Q$2&lt;&gt;D55,$Q$2&lt;&gt;E55,$Q$2&lt;&gt;F55,I55="2 to 10",J55=FALSE,K55=FALSE),B55,"")))))))), "")</f>
        <v>Cameron Smith</v>
      </c>
      <c r="N55" s="44" t="str">
        <f ca="1">IFERROR(IF(AND(MASTER!$K$1=MASTER!$N$2,MASTER!K55="X"),"",IF(AND(MASTER!$J$1=MASTER!$N$2,MASTER!J55="X"),"",IF(AND(MASTER!$I$1=MASTER!$N$2,MASTER!I55="X"),"",IF(AND(MASTER!$H$1=MASTER!$N$2,MASTER!H55="X"),"",IF(AND(MASTER!$G$1=MASTER!$N$2,MASTER!G55="X"),"",IF(AND(MASTER!$F$1=MASTER!$N$2,MASTER!F55="X"),"",IF(AND(MASTER!$E$1=MASTER!$N$2,MASTER!E55="X"),"",IF(AND($Q$2&lt;&gt;D55,$Q$2&lt;&gt;E55,$Q$2&lt;&gt;F55,I55="10 to 6",J55=FALSE,K55=FALSE),B55,"")))))))), "")</f>
        <v/>
      </c>
    </row>
    <row r="56" spans="1:14" ht="16" thickBot="1" x14ac:dyDescent="0.25">
      <c r="A56">
        <v>55</v>
      </c>
      <c r="B56" s="51" t="s">
        <v>84</v>
      </c>
      <c r="C56" s="27">
        <f ca="1">IFERROR(IF(H56="NEW HIRE",100,IF($P$2-H56&lt;=100,$P$2-H56,IF($P$2-H56&gt;=365,0,))), 0)</f>
        <v>0</v>
      </c>
      <c r="D56" t="s">
        <v>8</v>
      </c>
      <c r="E56" t="s">
        <v>3</v>
      </c>
      <c r="F56" t="s">
        <v>4</v>
      </c>
      <c r="G56" s="38">
        <f ca="1">IF(AND(MASTER!K56&lt;&gt;"X",MASTER!K56&lt;&gt;"",MASTER!$K$2&lt;&gt;BUCKET!H56, MASTER!$K$2&lt;=MASTER!$M$2),MASTER!$K$2,IF(AND(MASTER!J56&lt;&gt;"X",MASTER!J56&lt;&gt;"",MASTER!$J$2&lt;&gt;BUCKET!H56, MASTER!$J$2&lt;=MASTER!$M$2),MASTER!$J$2,IF(AND(MASTER!I56&lt;&gt;"X",MASTER!I56&lt;&gt;"",MASTER!$I$2&lt;&gt;BUCKET!H56, MASTER!$I$2&lt;=MASTER!$M$2),MASTER!$I$2, IF(AND(MASTER!H56&lt;&gt;"X", MASTER!H56&lt;&gt;"", MASTER!$H$2&lt;&gt;BUCKET!H56, MASTER!$H$2&lt;=MASTER!$M$2), MASTER!$H$2, IF(AND(MASTER!G56&lt;&gt;"X", MASTER!G56&lt;&gt;"", MASTER!$G$2&lt;&gt;BUCKET!H56, MASTER!$G$2&lt;=MASTER!$M$2), MASTER!$H$2, IF(AND(MASTER!G56&lt;&gt;"X", MASTER!G56&lt;&gt;"", MASTER!$G$2&lt;&gt;BUCKET!H56, MASTER!$F$2&lt;=MASTER!$M$2), MASTER!$G$2, IF(AND(MASTER!F56&lt;&gt;"X", MASTER!F56&lt;&gt;"", MASTER!$F$2&lt;&gt;BUCKET!H56, MASTER!$F$2&lt;=MASTER!$M$2), MASTER!$F$2, IF(AND(MASTER!E56&lt;&gt;"X", MASTER!E56&lt;&gt;"", MASTER!$E$2&lt;&gt;BUCKET!H56, MASTER!$E$2&lt;=MASTER!$M$2), MASTER!$E$2, IF(AND( MASTER!D56&lt;&gt;"", MASTER!D56&lt;&gt;BUCKET!H56), MASTER!D56, IF(AND(MASTER!C56&lt;&gt;"X", MASTER!C56&lt;&gt;""), MASTER!C56))))))))))</f>
        <v>44229</v>
      </c>
      <c r="H56" s="35">
        <f ca="1">IF(AND(MASTER!K57&lt;&gt;"X", MASTER!K57&lt;&gt;"", MASTER!$K$2&lt;=MASTER!$M$2), MASTER!$K$2, IF(AND(MASTER!J57&lt;&gt;"X", MASTER!J57&lt;&gt;"", MASTER!$J$2&lt;=MASTER!$M$2),MASTER!$J$2, IF(AND(MASTER!I57&lt;&gt;"X", MASTER!I57&lt;&gt;"", MASTER!$I$2&lt;=MASTER!$M$2),MASTER!$I$2, IF(AND(MASTER!H57&lt;&gt;"X", MASTER!H57&lt;&gt;"", MASTER!$H$2&lt;=MASTER!$M$2),MASTER!$H$2, IF(AND(MASTER!G57&lt;&gt;"X", MASTER!G57&lt;&gt;"", MASTER!$F$2&lt;=MASTER!$M$2),MASTER!$G$2, IF(AND(MASTER!F57&lt;&gt;"X", MASTER!F57&lt;&gt;"", MASTER!$F$2&lt;=MASTER!$M$2), MASTER!$F$2, IF(AND(MASTER!E57&lt;&gt;"X", MASTER!E57&lt;&gt;"", MASTER!$E$2&lt;=MASTER!$M$2),MASTER!$E$2, IF(MASTER!D57&lt;&gt;"", MASTER!D57,""))))))))</f>
        <v>44230</v>
      </c>
      <c r="I56" s="8" t="s">
        <v>12</v>
      </c>
      <c r="J56" s="27" t="b">
        <f ca="1">IFERROR(IF(H56="NEW HIRE",FALSE,IF(AND((H56-G56)&lt;=1),($P$2-H56)&lt;=1)), "")</f>
        <v>0</v>
      </c>
      <c r="K56" s="54" t="b">
        <v>0</v>
      </c>
      <c r="L56" s="30" t="str">
        <f ca="1">IFERROR(IF(AND(MASTER!$K$1=MASTER!$N$2,MASTER!K56="X"),"",IF(AND(MASTER!$J$1=MASTER!$N$2,MASTER!J56="X"),"",IF(AND(MASTER!$I$1=MASTER!$N$2,MASTER!I56="X"),"",IF(AND(MASTER!$H$1=MASTER!$N$2,MASTER!H56="X"),"",IF(AND(MASTER!$G$1=MASTER!$N$2,MASTER!G56="X"),"",IF(AND(MASTER!$F$1=MASTER!$N$2,MASTER!F56="X"),"",IF(AND(MASTER!$E$1=MASTER!$N$2,MASTER!E56="X"),"",IF(AND($Q$2&lt;&gt;D56,$Q$2&lt;&gt;E56,$Q$2&lt;&gt;F56,I56="6 to 2",J56=FALSE,K56=FALSE),B56,"")))))))), "")</f>
        <v/>
      </c>
      <c r="M56" s="34" t="str">
        <f ca="1">IFERROR(IF(AND(MASTER!$K$1=MASTER!$N$2,MASTER!K56="X"),"",IF(AND(MASTER!$J$1=MASTER!$N$2,MASTER!J56="X"),"",IF(AND(MASTER!$I$1=MASTER!$N$2,MASTER!I56="X"),"",IF(AND(MASTER!$H$1=MASTER!$N$2,MASTER!H56="X"),"",IF(AND(MASTER!$G$1=MASTER!$N$2,MASTER!G56="X"),"",IF(AND(MASTER!$F$1=MASTER!$N$2,MASTER!F56="X"),"",IF(AND(MASTER!$E$1=MASTER!$N$2,MASTER!E56="X"),"",IF(AND($Q$2&lt;&gt;D56,$Q$2&lt;&gt;E56,$Q$2&lt;&gt;F56,I56="2 to 10",J56=FALSE,K56=FALSE),B56,"")))))))), "")</f>
        <v>Sam Johnson</v>
      </c>
      <c r="N56" s="44" t="str">
        <f ca="1">IFERROR(IF(AND(MASTER!$K$1=MASTER!$N$2,MASTER!K56="X"),"",IF(AND(MASTER!$J$1=MASTER!$N$2,MASTER!J56="X"),"",IF(AND(MASTER!$I$1=MASTER!$N$2,MASTER!I56="X"),"",IF(AND(MASTER!$H$1=MASTER!$N$2,MASTER!H56="X"),"",IF(AND(MASTER!$G$1=MASTER!$N$2,MASTER!G56="X"),"",IF(AND(MASTER!$F$1=MASTER!$N$2,MASTER!F56="X"),"",IF(AND(MASTER!$E$1=MASTER!$N$2,MASTER!E56="X"),"",IF(AND($Q$2&lt;&gt;D56,$Q$2&lt;&gt;E56,$Q$2&lt;&gt;F56,I56="10 to 6",J56=FALSE,K56=FALSE),B56,"")))))))), "")</f>
        <v/>
      </c>
    </row>
    <row r="57" spans="1:14" ht="16" thickBot="1" x14ac:dyDescent="0.25">
      <c r="A57">
        <v>56</v>
      </c>
      <c r="B57" s="51" t="s">
        <v>85</v>
      </c>
      <c r="C57" s="27">
        <f ca="1">IFERROR(IF(H57="NEW HIRE",100,IF($P$2-H57&lt;=100,$P$2-H57,IF($P$2-H57&gt;=365,0,))), 0)</f>
        <v>0</v>
      </c>
      <c r="D57" t="s">
        <v>4</v>
      </c>
      <c r="E57" t="s">
        <v>5</v>
      </c>
      <c r="F57" t="s">
        <v>6</v>
      </c>
      <c r="G57" s="38">
        <f ca="1">IF(AND(MASTER!K57&lt;&gt;"X",MASTER!K57&lt;&gt;"",MASTER!$K$2&lt;&gt;BUCKET!H57, MASTER!$K$2&lt;=MASTER!$M$2),MASTER!$K$2,IF(AND(MASTER!J57&lt;&gt;"X",MASTER!J57&lt;&gt;"",MASTER!$J$2&lt;&gt;BUCKET!H57, MASTER!$J$2&lt;=MASTER!$M$2),MASTER!$J$2,IF(AND(MASTER!I57&lt;&gt;"X",MASTER!I57&lt;&gt;"",MASTER!$I$2&lt;&gt;BUCKET!H57, MASTER!$I$2&lt;=MASTER!$M$2),MASTER!$I$2, IF(AND(MASTER!H57&lt;&gt;"X", MASTER!H57&lt;&gt;"", MASTER!$H$2&lt;&gt;BUCKET!H57, MASTER!$H$2&lt;=MASTER!$M$2), MASTER!$H$2, IF(AND(MASTER!G57&lt;&gt;"X", MASTER!G57&lt;&gt;"", MASTER!$G$2&lt;&gt;BUCKET!H57, MASTER!$G$2&lt;=MASTER!$M$2), MASTER!$H$2, IF(AND(MASTER!G57&lt;&gt;"X", MASTER!G57&lt;&gt;"", MASTER!$G$2&lt;&gt;BUCKET!H57, MASTER!$F$2&lt;=MASTER!$M$2), MASTER!$G$2, IF(AND(MASTER!F57&lt;&gt;"X", MASTER!F57&lt;&gt;"", MASTER!$F$2&lt;&gt;BUCKET!H57, MASTER!$F$2&lt;=MASTER!$M$2), MASTER!$F$2, IF(AND(MASTER!E57&lt;&gt;"X", MASTER!E57&lt;&gt;"", MASTER!$E$2&lt;&gt;BUCKET!H57, MASTER!$E$2&lt;=MASTER!$M$2), MASTER!$E$2, IF(AND( MASTER!D57&lt;&gt;"", MASTER!D57&lt;&gt;BUCKET!H57), MASTER!D57, IF(AND(MASTER!C57&lt;&gt;"X", MASTER!C57&lt;&gt;""), MASTER!C57))))))))))</f>
        <v>44230</v>
      </c>
      <c r="H57" s="35">
        <f ca="1">IF(AND(MASTER!K58&lt;&gt;"X", MASTER!K58&lt;&gt;"", MASTER!$K$2&lt;=MASTER!$M$2), MASTER!$K$2, IF(AND(MASTER!J58&lt;&gt;"X", MASTER!J58&lt;&gt;"", MASTER!$J$2&lt;=MASTER!$M$2),MASTER!$J$2, IF(AND(MASTER!I58&lt;&gt;"X", MASTER!I58&lt;&gt;"", MASTER!$I$2&lt;=MASTER!$M$2),MASTER!$I$2, IF(AND(MASTER!H58&lt;&gt;"X", MASTER!H58&lt;&gt;"", MASTER!$H$2&lt;=MASTER!$M$2),MASTER!$H$2, IF(AND(MASTER!G58&lt;&gt;"X", MASTER!G58&lt;&gt;"", MASTER!$F$2&lt;=MASTER!$M$2),MASTER!$G$2, IF(AND(MASTER!F58&lt;&gt;"X", MASTER!F58&lt;&gt;"", MASTER!$F$2&lt;=MASTER!$M$2), MASTER!$F$2, IF(AND(MASTER!E58&lt;&gt;"X", MASTER!E58&lt;&gt;"", MASTER!$E$2&lt;=MASTER!$M$2),MASTER!$E$2, IF(MASTER!D58&lt;&gt;"", MASTER!D58,""))))))))</f>
        <v>44231</v>
      </c>
      <c r="I57" s="8" t="s">
        <v>16</v>
      </c>
      <c r="J57" s="27" t="b">
        <f ca="1">IFERROR(IF(H57="NEW HIRE",FALSE,IF(AND((H57-G57)&lt;=1),($P$2-H57)&lt;=1)), "")</f>
        <v>0</v>
      </c>
      <c r="K57" s="54" t="s">
        <v>19</v>
      </c>
      <c r="L57" s="30" t="str">
        <f ca="1">IFERROR(IF(AND(MASTER!$K$1=MASTER!$N$2,MASTER!K57="X"),"",IF(AND(MASTER!$J$1=MASTER!$N$2,MASTER!J57="X"),"",IF(AND(MASTER!$I$1=MASTER!$N$2,MASTER!I57="X"),"",IF(AND(MASTER!$H$1=MASTER!$N$2,MASTER!H57="X"),"",IF(AND(MASTER!$G$1=MASTER!$N$2,MASTER!G57="X"),"",IF(AND(MASTER!$F$1=MASTER!$N$2,MASTER!F57="X"),"",IF(AND(MASTER!$E$1=MASTER!$N$2,MASTER!E57="X"),"",IF(AND($Q$2&lt;&gt;D57,$Q$2&lt;&gt;E57,$Q$2&lt;&gt;F57,I57="6 to 2",J57=FALSE,K57=FALSE),B57,"")))))))), "")</f>
        <v/>
      </c>
      <c r="M57" s="34" t="str">
        <f ca="1">IFERROR(IF(AND(MASTER!$K$1=MASTER!$N$2,MASTER!K57="X"),"",IF(AND(MASTER!$J$1=MASTER!$N$2,MASTER!J57="X"),"",IF(AND(MASTER!$I$1=MASTER!$N$2,MASTER!I57="X"),"",IF(AND(MASTER!$H$1=MASTER!$N$2,MASTER!H57="X"),"",IF(AND(MASTER!$G$1=MASTER!$N$2,MASTER!G57="X"),"",IF(AND(MASTER!$F$1=MASTER!$N$2,MASTER!F57="X"),"",IF(AND(MASTER!$E$1=MASTER!$N$2,MASTER!E57="X"),"",IF(AND($Q$2&lt;&gt;D57,$Q$2&lt;&gt;E57,$Q$2&lt;&gt;F57,I57="2 to 10",J57=FALSE,K57=FALSE),B57,"")))))))), "")</f>
        <v/>
      </c>
      <c r="N57" s="44" t="str">
        <f ca="1">IFERROR(IF(AND(MASTER!$K$1=MASTER!$N$2,MASTER!K57="X"),"",IF(AND(MASTER!$J$1=MASTER!$N$2,MASTER!J57="X"),"",IF(AND(MASTER!$I$1=MASTER!$N$2,MASTER!I57="X"),"",IF(AND(MASTER!$H$1=MASTER!$N$2,MASTER!H57="X"),"",IF(AND(MASTER!$G$1=MASTER!$N$2,MASTER!G57="X"),"",IF(AND(MASTER!$F$1=MASTER!$N$2,MASTER!F57="X"),"",IF(AND(MASTER!$E$1=MASTER!$N$2,MASTER!E57="X"),"",IF(AND($Q$2&lt;&gt;D57,$Q$2&lt;&gt;E57,$Q$2&lt;&gt;F57,I57="10 to 6",J57=FALSE,K57=FALSE),B57,"")))))))), "")</f>
        <v/>
      </c>
    </row>
    <row r="58" spans="1:14" ht="16" thickBot="1" x14ac:dyDescent="0.25">
      <c r="A58">
        <v>57</v>
      </c>
      <c r="B58" s="51" t="s">
        <v>86</v>
      </c>
      <c r="C58" s="27">
        <f ca="1">IFERROR(IF(H58="NEW HIRE",100,IF($P$2-H58&lt;=100,$P$2-H58,IF($P$2-H58&gt;=365,0,))), 0)</f>
        <v>0</v>
      </c>
      <c r="D58" t="s">
        <v>3</v>
      </c>
      <c r="E58" t="s">
        <v>4</v>
      </c>
      <c r="F58" t="s">
        <v>5</v>
      </c>
      <c r="G58" s="38">
        <f ca="1">IF(AND(MASTER!K58&lt;&gt;"X",MASTER!K58&lt;&gt;"",MASTER!$K$2&lt;&gt;BUCKET!H58, MASTER!$K$2&lt;=MASTER!$M$2),MASTER!$K$2,IF(AND(MASTER!J58&lt;&gt;"X",MASTER!J58&lt;&gt;"",MASTER!$J$2&lt;&gt;BUCKET!H58, MASTER!$J$2&lt;=MASTER!$M$2),MASTER!$J$2,IF(AND(MASTER!I58&lt;&gt;"X",MASTER!I58&lt;&gt;"",MASTER!$I$2&lt;&gt;BUCKET!H58, MASTER!$I$2&lt;=MASTER!$M$2),MASTER!$I$2, IF(AND(MASTER!H58&lt;&gt;"X", MASTER!H58&lt;&gt;"", MASTER!$H$2&lt;&gt;BUCKET!H58, MASTER!$H$2&lt;=MASTER!$M$2), MASTER!$H$2, IF(AND(MASTER!G58&lt;&gt;"X", MASTER!G58&lt;&gt;"", MASTER!$G$2&lt;&gt;BUCKET!H58, MASTER!$G$2&lt;=MASTER!$M$2), MASTER!$H$2, IF(AND(MASTER!G58&lt;&gt;"X", MASTER!G58&lt;&gt;"", MASTER!$G$2&lt;&gt;BUCKET!H58, MASTER!$F$2&lt;=MASTER!$M$2), MASTER!$G$2, IF(AND(MASTER!F58&lt;&gt;"X", MASTER!F58&lt;&gt;"", MASTER!$F$2&lt;&gt;BUCKET!H58, MASTER!$F$2&lt;=MASTER!$M$2), MASTER!$F$2, IF(AND(MASTER!E58&lt;&gt;"X", MASTER!E58&lt;&gt;"", MASTER!$E$2&lt;&gt;BUCKET!H58, MASTER!$E$2&lt;=MASTER!$M$2), MASTER!$E$2, IF(AND( MASTER!D58&lt;&gt;"", MASTER!D58&lt;&gt;BUCKET!H58), MASTER!D58, IF(AND(MASTER!C58&lt;&gt;"X", MASTER!C58&lt;&gt;""), MASTER!C58))))))))))</f>
        <v>44231</v>
      </c>
      <c r="H58" s="35">
        <f ca="1">IF(AND(MASTER!K59&lt;&gt;"X", MASTER!K59&lt;&gt;"", MASTER!$K$2&lt;=MASTER!$M$2), MASTER!$K$2, IF(AND(MASTER!J59&lt;&gt;"X", MASTER!J59&lt;&gt;"", MASTER!$J$2&lt;=MASTER!$M$2),MASTER!$J$2, IF(AND(MASTER!I59&lt;&gt;"X", MASTER!I59&lt;&gt;"", MASTER!$I$2&lt;=MASTER!$M$2),MASTER!$I$2, IF(AND(MASTER!H59&lt;&gt;"X", MASTER!H59&lt;&gt;"", MASTER!$H$2&lt;=MASTER!$M$2),MASTER!$H$2, IF(AND(MASTER!G59&lt;&gt;"X", MASTER!G59&lt;&gt;"", MASTER!$F$2&lt;=MASTER!$M$2),MASTER!$G$2, IF(AND(MASTER!F59&lt;&gt;"X", MASTER!F59&lt;&gt;"", MASTER!$F$2&lt;=MASTER!$M$2), MASTER!$F$2, IF(AND(MASTER!E59&lt;&gt;"X", MASTER!E59&lt;&gt;"", MASTER!$E$2&lt;=MASTER!$M$2),MASTER!$E$2, IF(MASTER!D59&lt;&gt;"", MASTER!D59,""))))))))</f>
        <v>44232</v>
      </c>
      <c r="I58" s="8" t="s">
        <v>13</v>
      </c>
      <c r="J58" s="27" t="b">
        <f ca="1">IFERROR(IF(H58="NEW HIRE",FALSE,IF(AND((H58-G58)&lt;=1),($P$2-H58)&lt;=1)), "")</f>
        <v>0</v>
      </c>
      <c r="K58" s="54" t="b">
        <v>0</v>
      </c>
      <c r="L58" s="30" t="str">
        <f ca="1">IFERROR(IF(AND(MASTER!$K$1=MASTER!$N$2,MASTER!K58="X"),"",IF(AND(MASTER!$J$1=MASTER!$N$2,MASTER!J58="X"),"",IF(AND(MASTER!$I$1=MASTER!$N$2,MASTER!I58="X"),"",IF(AND(MASTER!$H$1=MASTER!$N$2,MASTER!H58="X"),"",IF(AND(MASTER!$G$1=MASTER!$N$2,MASTER!G58="X"),"",IF(AND(MASTER!$F$1=MASTER!$N$2,MASTER!F58="X"),"",IF(AND(MASTER!$E$1=MASTER!$N$2,MASTER!E58="X"),"",IF(AND($Q$2&lt;&gt;D58,$Q$2&lt;&gt;E58,$Q$2&lt;&gt;F58,I58="6 to 2",J58=FALSE,K58=FALSE),B58,"")))))))), "")</f>
        <v>Shawn Williams</v>
      </c>
      <c r="M58" s="34" t="str">
        <f ca="1">IFERROR(IF(AND(MASTER!$K$1=MASTER!$N$2,MASTER!K58="X"),"",IF(AND(MASTER!$J$1=MASTER!$N$2,MASTER!J58="X"),"",IF(AND(MASTER!$I$1=MASTER!$N$2,MASTER!I58="X"),"",IF(AND(MASTER!$H$1=MASTER!$N$2,MASTER!H58="X"),"",IF(AND(MASTER!$G$1=MASTER!$N$2,MASTER!G58="X"),"",IF(AND(MASTER!$F$1=MASTER!$N$2,MASTER!F58="X"),"",IF(AND(MASTER!$E$1=MASTER!$N$2,MASTER!E58="X"),"",IF(AND($Q$2&lt;&gt;D58,$Q$2&lt;&gt;E58,$Q$2&lt;&gt;F58,I58="2 to 10",J58=FALSE,K58=FALSE),B58,"")))))))), "")</f>
        <v/>
      </c>
      <c r="N58" s="44" t="str">
        <f ca="1">IFERROR(IF(AND(MASTER!$K$1=MASTER!$N$2,MASTER!K58="X"),"",IF(AND(MASTER!$J$1=MASTER!$N$2,MASTER!J58="X"),"",IF(AND(MASTER!$I$1=MASTER!$N$2,MASTER!I58="X"),"",IF(AND(MASTER!$H$1=MASTER!$N$2,MASTER!H58="X"),"",IF(AND(MASTER!$G$1=MASTER!$N$2,MASTER!G58="X"),"",IF(AND(MASTER!$F$1=MASTER!$N$2,MASTER!F58="X"),"",IF(AND(MASTER!$E$1=MASTER!$N$2,MASTER!E58="X"),"",IF(AND($Q$2&lt;&gt;D58,$Q$2&lt;&gt;E58,$Q$2&lt;&gt;F58,I58="10 to 6",J58=FALSE,K58=FALSE),B58,"")))))))), "")</f>
        <v/>
      </c>
    </row>
    <row r="59" spans="1:14" ht="16" thickBot="1" x14ac:dyDescent="0.25">
      <c r="A59">
        <v>58</v>
      </c>
      <c r="B59" s="51" t="s">
        <v>87</v>
      </c>
      <c r="C59" s="27">
        <f ca="1">IFERROR(IF(H59="NEW HIRE",100,IF($P$2-H59&lt;=100,$P$2-H59,IF($P$2-H59&gt;=365,0,))), 0)</f>
        <v>0</v>
      </c>
      <c r="D59" t="s">
        <v>7</v>
      </c>
      <c r="E59" t="s">
        <v>8</v>
      </c>
      <c r="F59" t="s">
        <v>3</v>
      </c>
      <c r="G59" s="38">
        <f ca="1">IF(AND(MASTER!K59&lt;&gt;"X",MASTER!K59&lt;&gt;"",MASTER!$K$2&lt;&gt;BUCKET!H59, MASTER!$K$2&lt;=MASTER!$M$2),MASTER!$K$2,IF(AND(MASTER!J59&lt;&gt;"X",MASTER!J59&lt;&gt;"",MASTER!$J$2&lt;&gt;BUCKET!H59, MASTER!$J$2&lt;=MASTER!$M$2),MASTER!$J$2,IF(AND(MASTER!I59&lt;&gt;"X",MASTER!I59&lt;&gt;"",MASTER!$I$2&lt;&gt;BUCKET!H59, MASTER!$I$2&lt;=MASTER!$M$2),MASTER!$I$2, IF(AND(MASTER!H59&lt;&gt;"X", MASTER!H59&lt;&gt;"", MASTER!$H$2&lt;&gt;BUCKET!H59, MASTER!$H$2&lt;=MASTER!$M$2), MASTER!$H$2, IF(AND(MASTER!G59&lt;&gt;"X", MASTER!G59&lt;&gt;"", MASTER!$G$2&lt;&gt;BUCKET!H59, MASTER!$G$2&lt;=MASTER!$M$2), MASTER!$H$2, IF(AND(MASTER!G59&lt;&gt;"X", MASTER!G59&lt;&gt;"", MASTER!$G$2&lt;&gt;BUCKET!H59, MASTER!$F$2&lt;=MASTER!$M$2), MASTER!$G$2, IF(AND(MASTER!F59&lt;&gt;"X", MASTER!F59&lt;&gt;"", MASTER!$F$2&lt;&gt;BUCKET!H59, MASTER!$F$2&lt;=MASTER!$M$2), MASTER!$F$2, IF(AND(MASTER!E59&lt;&gt;"X", MASTER!E59&lt;&gt;"", MASTER!$E$2&lt;&gt;BUCKET!H59, MASTER!$E$2&lt;=MASTER!$M$2), MASTER!$E$2, IF(AND( MASTER!D59&lt;&gt;"", MASTER!D59&lt;&gt;BUCKET!H59), MASTER!D59, IF(AND(MASTER!C59&lt;&gt;"X", MASTER!C59&lt;&gt;""), MASTER!C59))))))))))</f>
        <v>44232</v>
      </c>
      <c r="H59" s="35">
        <f ca="1">IF(AND(MASTER!K60&lt;&gt;"X", MASTER!K60&lt;&gt;"", MASTER!$K$2&lt;=MASTER!$M$2), MASTER!$K$2, IF(AND(MASTER!J60&lt;&gt;"X", MASTER!J60&lt;&gt;"", MASTER!$J$2&lt;=MASTER!$M$2),MASTER!$J$2, IF(AND(MASTER!I60&lt;&gt;"X", MASTER!I60&lt;&gt;"", MASTER!$I$2&lt;=MASTER!$M$2),MASTER!$I$2, IF(AND(MASTER!H60&lt;&gt;"X", MASTER!H60&lt;&gt;"", MASTER!$H$2&lt;=MASTER!$M$2),MASTER!$H$2, IF(AND(MASTER!G60&lt;&gt;"X", MASTER!G60&lt;&gt;"", MASTER!$F$2&lt;=MASTER!$M$2),MASTER!$G$2, IF(AND(MASTER!F60&lt;&gt;"X", MASTER!F60&lt;&gt;"", MASTER!$F$2&lt;=MASTER!$M$2), MASTER!$F$2, IF(AND(MASTER!E60&lt;&gt;"X", MASTER!E60&lt;&gt;"", MASTER!$E$2&lt;=MASTER!$M$2),MASTER!$E$2, IF(MASTER!D60&lt;&gt;"", MASTER!D60,""))))))))</f>
        <v>44233</v>
      </c>
      <c r="I59" s="8" t="s">
        <v>12</v>
      </c>
      <c r="J59" s="27" t="b">
        <f ca="1">IFERROR(IF(H59="NEW HIRE",FALSE,IF(AND((H59-G59)&lt;=1),($P$2-H59)&lt;=1)), "")</f>
        <v>0</v>
      </c>
      <c r="K59" s="54" t="b">
        <v>0</v>
      </c>
      <c r="L59" s="30" t="str">
        <f ca="1">IFERROR(IF(AND(MASTER!$K$1=MASTER!$N$2,MASTER!K59="X"),"",IF(AND(MASTER!$J$1=MASTER!$N$2,MASTER!J59="X"),"",IF(AND(MASTER!$I$1=MASTER!$N$2,MASTER!I59="X"),"",IF(AND(MASTER!$H$1=MASTER!$N$2,MASTER!H59="X"),"",IF(AND(MASTER!$G$1=MASTER!$N$2,MASTER!G59="X"),"",IF(AND(MASTER!$F$1=MASTER!$N$2,MASTER!F59="X"),"",IF(AND(MASTER!$E$1=MASTER!$N$2,MASTER!E59="X"),"",IF(AND($Q$2&lt;&gt;D59,$Q$2&lt;&gt;E59,$Q$2&lt;&gt;F59,I59="6 to 2",J59=FALSE,K59=FALSE),B59,"")))))))), "")</f>
        <v/>
      </c>
      <c r="M59" s="34" t="str">
        <f ca="1">IFERROR(IF(AND(MASTER!$K$1=MASTER!$N$2,MASTER!K59="X"),"",IF(AND(MASTER!$J$1=MASTER!$N$2,MASTER!J59="X"),"",IF(AND(MASTER!$I$1=MASTER!$N$2,MASTER!I59="X"),"",IF(AND(MASTER!$H$1=MASTER!$N$2,MASTER!H59="X"),"",IF(AND(MASTER!$G$1=MASTER!$N$2,MASTER!G59="X"),"",IF(AND(MASTER!$F$1=MASTER!$N$2,MASTER!F59="X"),"",IF(AND(MASTER!$E$1=MASTER!$N$2,MASTER!E59="X"),"",IF(AND($Q$2&lt;&gt;D59,$Q$2&lt;&gt;E59,$Q$2&lt;&gt;F59,I59="2 to 10",J59=FALSE,K59=FALSE),B59,"")))))))), "")</f>
        <v>Chris Johnson</v>
      </c>
      <c r="N59" s="44" t="str">
        <f ca="1">IFERROR(IF(AND(MASTER!$K$1=MASTER!$N$2,MASTER!K59="X"),"",IF(AND(MASTER!$J$1=MASTER!$N$2,MASTER!J59="X"),"",IF(AND(MASTER!$I$1=MASTER!$N$2,MASTER!I59="X"),"",IF(AND(MASTER!$H$1=MASTER!$N$2,MASTER!H59="X"),"",IF(AND(MASTER!$G$1=MASTER!$N$2,MASTER!G59="X"),"",IF(AND(MASTER!$F$1=MASTER!$N$2,MASTER!F59="X"),"",IF(AND(MASTER!$E$1=MASTER!$N$2,MASTER!E59="X"),"",IF(AND($Q$2&lt;&gt;D59,$Q$2&lt;&gt;E59,$Q$2&lt;&gt;F59,I59="10 to 6",J59=FALSE,K59=FALSE),B59,"")))))))), "")</f>
        <v/>
      </c>
    </row>
    <row r="60" spans="1:14" ht="16" thickBot="1" x14ac:dyDescent="0.25">
      <c r="A60">
        <v>59</v>
      </c>
      <c r="B60" s="51" t="s">
        <v>88</v>
      </c>
      <c r="C60" s="27">
        <f ca="1">IFERROR(IF(H60="NEW HIRE",100,IF($P$2-H60&lt;=100,$P$2-H60,IF($P$2-H60&gt;=365,0,))), 0)</f>
        <v>0</v>
      </c>
      <c r="D60" t="s">
        <v>4</v>
      </c>
      <c r="E60" t="s">
        <v>5</v>
      </c>
      <c r="F60" t="s">
        <v>6</v>
      </c>
      <c r="G60" s="38">
        <f ca="1">IF(AND(MASTER!K60&lt;&gt;"X",MASTER!K60&lt;&gt;"",MASTER!$K$2&lt;&gt;BUCKET!H60, MASTER!$K$2&lt;=MASTER!$M$2),MASTER!$K$2,IF(AND(MASTER!J60&lt;&gt;"X",MASTER!J60&lt;&gt;"",MASTER!$J$2&lt;&gt;BUCKET!H60, MASTER!$J$2&lt;=MASTER!$M$2),MASTER!$J$2,IF(AND(MASTER!I60&lt;&gt;"X",MASTER!I60&lt;&gt;"",MASTER!$I$2&lt;&gt;BUCKET!H60, MASTER!$I$2&lt;=MASTER!$M$2),MASTER!$I$2, IF(AND(MASTER!H60&lt;&gt;"X", MASTER!H60&lt;&gt;"", MASTER!$H$2&lt;&gt;BUCKET!H60, MASTER!$H$2&lt;=MASTER!$M$2), MASTER!$H$2, IF(AND(MASTER!G60&lt;&gt;"X", MASTER!G60&lt;&gt;"", MASTER!$G$2&lt;&gt;BUCKET!H60, MASTER!$G$2&lt;=MASTER!$M$2), MASTER!$H$2, IF(AND(MASTER!G60&lt;&gt;"X", MASTER!G60&lt;&gt;"", MASTER!$G$2&lt;&gt;BUCKET!H60, MASTER!$F$2&lt;=MASTER!$M$2), MASTER!$G$2, IF(AND(MASTER!F60&lt;&gt;"X", MASTER!F60&lt;&gt;"", MASTER!$F$2&lt;&gt;BUCKET!H60, MASTER!$F$2&lt;=MASTER!$M$2), MASTER!$F$2, IF(AND(MASTER!E60&lt;&gt;"X", MASTER!E60&lt;&gt;"", MASTER!$E$2&lt;&gt;BUCKET!H60, MASTER!$E$2&lt;=MASTER!$M$2), MASTER!$E$2, IF(AND( MASTER!D60&lt;&gt;"", MASTER!D60&lt;&gt;BUCKET!H60), MASTER!D60, IF(AND(MASTER!C60&lt;&gt;"X", MASTER!C60&lt;&gt;""), MASTER!C60))))))))))</f>
        <v>44233</v>
      </c>
      <c r="H60" s="35">
        <f ca="1">IF(AND(MASTER!K61&lt;&gt;"X", MASTER!K61&lt;&gt;"", MASTER!$K$2&lt;=MASTER!$M$2), MASTER!$K$2, IF(AND(MASTER!J61&lt;&gt;"X", MASTER!J61&lt;&gt;"", MASTER!$J$2&lt;=MASTER!$M$2),MASTER!$J$2, IF(AND(MASTER!I61&lt;&gt;"X", MASTER!I61&lt;&gt;"", MASTER!$I$2&lt;=MASTER!$M$2),MASTER!$I$2, IF(AND(MASTER!H61&lt;&gt;"X", MASTER!H61&lt;&gt;"", MASTER!$H$2&lt;=MASTER!$M$2),MASTER!$H$2, IF(AND(MASTER!G61&lt;&gt;"X", MASTER!G61&lt;&gt;"", MASTER!$F$2&lt;=MASTER!$M$2),MASTER!$G$2, IF(AND(MASTER!F61&lt;&gt;"X", MASTER!F61&lt;&gt;"", MASTER!$F$2&lt;=MASTER!$M$2), MASTER!$F$2, IF(AND(MASTER!E61&lt;&gt;"X", MASTER!E61&lt;&gt;"", MASTER!$E$2&lt;=MASTER!$M$2),MASTER!$E$2, IF(MASTER!D61&lt;&gt;"", MASTER!D61,""))))))))</f>
        <v>44234</v>
      </c>
      <c r="I60" s="8" t="s">
        <v>16</v>
      </c>
      <c r="J60" s="27" t="b">
        <f ca="1">IFERROR(IF(H60="NEW HIRE",FALSE,IF(AND((H60-G60)&lt;=1),($P$2-H60)&lt;=1)), "")</f>
        <v>0</v>
      </c>
      <c r="K60" s="54" t="b">
        <v>0</v>
      </c>
      <c r="L60" s="30" t="str">
        <f ca="1">IFERROR(IF(AND(MASTER!$K$1=MASTER!$N$2,MASTER!K60="X"),"",IF(AND(MASTER!$J$1=MASTER!$N$2,MASTER!J60="X"),"",IF(AND(MASTER!$I$1=MASTER!$N$2,MASTER!I60="X"),"",IF(AND(MASTER!$H$1=MASTER!$N$2,MASTER!H60="X"),"",IF(AND(MASTER!$G$1=MASTER!$N$2,MASTER!G60="X"),"",IF(AND(MASTER!$F$1=MASTER!$N$2,MASTER!F60="X"),"",IF(AND(MASTER!$E$1=MASTER!$N$2,MASTER!E60="X"),"",IF(AND($Q$2&lt;&gt;D60,$Q$2&lt;&gt;E60,$Q$2&lt;&gt;F60,I60="6 to 2",J60=FALSE,K60=FALSE),B60,"")))))))), "")</f>
        <v/>
      </c>
      <c r="M60" s="34" t="str">
        <f ca="1">IFERROR(IF(AND(MASTER!$K$1=MASTER!$N$2,MASTER!K60="X"),"",IF(AND(MASTER!$J$1=MASTER!$N$2,MASTER!J60="X"),"",IF(AND(MASTER!$I$1=MASTER!$N$2,MASTER!I60="X"),"",IF(AND(MASTER!$H$1=MASTER!$N$2,MASTER!H60="X"),"",IF(AND(MASTER!$G$1=MASTER!$N$2,MASTER!G60="X"),"",IF(AND(MASTER!$F$1=MASTER!$N$2,MASTER!F60="X"),"",IF(AND(MASTER!$E$1=MASTER!$N$2,MASTER!E60="X"),"",IF(AND($Q$2&lt;&gt;D60,$Q$2&lt;&gt;E60,$Q$2&lt;&gt;F60,I60="2 to 10",J60=FALSE,K60=FALSE),B60,"")))))))), "")</f>
        <v/>
      </c>
      <c r="N60" s="44" t="str">
        <f ca="1">IFERROR(IF(AND(MASTER!$K$1=MASTER!$N$2,MASTER!K60="X"),"",IF(AND(MASTER!$J$1=MASTER!$N$2,MASTER!J60="X"),"",IF(AND(MASTER!$I$1=MASTER!$N$2,MASTER!I60="X"),"",IF(AND(MASTER!$H$1=MASTER!$N$2,MASTER!H60="X"),"",IF(AND(MASTER!$G$1=MASTER!$N$2,MASTER!G60="X"),"",IF(AND(MASTER!$F$1=MASTER!$N$2,MASTER!F60="X"),"",IF(AND(MASTER!$E$1=MASTER!$N$2,MASTER!E60="X"),"",IF(AND($Q$2&lt;&gt;D60,$Q$2&lt;&gt;E60,$Q$2&lt;&gt;F60,I60="10 to 6",J60=FALSE,K60=FALSE),B60,"")))))))), "")</f>
        <v/>
      </c>
    </row>
    <row r="61" spans="1:14" ht="16" thickBot="1" x14ac:dyDescent="0.25">
      <c r="A61">
        <v>60</v>
      </c>
      <c r="B61" s="51" t="s">
        <v>89</v>
      </c>
      <c r="C61" s="27">
        <f ca="1">IFERROR(IF(H61="NEW HIRE",100,IF($P$2-H61&lt;=100,$P$2-H61,IF($P$2-H61&gt;=365,0,))), 0)</f>
        <v>0</v>
      </c>
      <c r="D61" t="s">
        <v>7</v>
      </c>
      <c r="E61" t="s">
        <v>8</v>
      </c>
      <c r="F61" t="s">
        <v>3</v>
      </c>
      <c r="G61" s="38">
        <f ca="1">IF(AND(MASTER!K61&lt;&gt;"X",MASTER!K61&lt;&gt;"",MASTER!$K$2&lt;&gt;BUCKET!H61, MASTER!$K$2&lt;=MASTER!$M$2),MASTER!$K$2,IF(AND(MASTER!J61&lt;&gt;"X",MASTER!J61&lt;&gt;"",MASTER!$J$2&lt;&gt;BUCKET!H61, MASTER!$J$2&lt;=MASTER!$M$2),MASTER!$J$2,IF(AND(MASTER!I61&lt;&gt;"X",MASTER!I61&lt;&gt;"",MASTER!$I$2&lt;&gt;BUCKET!H61, MASTER!$I$2&lt;=MASTER!$M$2),MASTER!$I$2, IF(AND(MASTER!H61&lt;&gt;"X", MASTER!H61&lt;&gt;"", MASTER!$H$2&lt;&gt;BUCKET!H61, MASTER!$H$2&lt;=MASTER!$M$2), MASTER!$H$2, IF(AND(MASTER!G61&lt;&gt;"X", MASTER!G61&lt;&gt;"", MASTER!$G$2&lt;&gt;BUCKET!H61, MASTER!$G$2&lt;=MASTER!$M$2), MASTER!$H$2, IF(AND(MASTER!G61&lt;&gt;"X", MASTER!G61&lt;&gt;"", MASTER!$G$2&lt;&gt;BUCKET!H61, MASTER!$F$2&lt;=MASTER!$M$2), MASTER!$G$2, IF(AND(MASTER!F61&lt;&gt;"X", MASTER!F61&lt;&gt;"", MASTER!$F$2&lt;&gt;BUCKET!H61, MASTER!$F$2&lt;=MASTER!$M$2), MASTER!$F$2, IF(AND(MASTER!E61&lt;&gt;"X", MASTER!E61&lt;&gt;"", MASTER!$E$2&lt;&gt;BUCKET!H61, MASTER!$E$2&lt;=MASTER!$M$2), MASTER!$E$2, IF(AND( MASTER!D61&lt;&gt;"", MASTER!D61&lt;&gt;BUCKET!H61), MASTER!D61, IF(AND(MASTER!C61&lt;&gt;"X", MASTER!C61&lt;&gt;""), MASTER!C61))))))))))</f>
        <v>44234</v>
      </c>
      <c r="H61" s="35">
        <f ca="1">IF(AND(MASTER!K62&lt;&gt;"X", MASTER!K62&lt;&gt;"", MASTER!$K$2&lt;=MASTER!$M$2), MASTER!$K$2, IF(AND(MASTER!J62&lt;&gt;"X", MASTER!J62&lt;&gt;"", MASTER!$J$2&lt;=MASTER!$M$2),MASTER!$J$2, IF(AND(MASTER!I62&lt;&gt;"X", MASTER!I62&lt;&gt;"", MASTER!$I$2&lt;=MASTER!$M$2),MASTER!$I$2, IF(AND(MASTER!H62&lt;&gt;"X", MASTER!H62&lt;&gt;"", MASTER!$H$2&lt;=MASTER!$M$2),MASTER!$H$2, IF(AND(MASTER!G62&lt;&gt;"X", MASTER!G62&lt;&gt;"", MASTER!$F$2&lt;=MASTER!$M$2),MASTER!$G$2, IF(AND(MASTER!F62&lt;&gt;"X", MASTER!F62&lt;&gt;"", MASTER!$F$2&lt;=MASTER!$M$2), MASTER!$F$2, IF(AND(MASTER!E62&lt;&gt;"X", MASTER!E62&lt;&gt;"", MASTER!$E$2&lt;=MASTER!$M$2),MASTER!$E$2, IF(MASTER!D62&lt;&gt;"", MASTER!D62,""))))))))</f>
        <v>44235</v>
      </c>
      <c r="I61" s="8" t="s">
        <v>16</v>
      </c>
      <c r="J61" s="27" t="b">
        <f ca="1">IFERROR(IF(H61="NEW HIRE",FALSE,IF(AND((H61-G61)&lt;=1),($P$2-H61)&lt;=1)), "")</f>
        <v>0</v>
      </c>
      <c r="K61" s="54" t="b">
        <v>0</v>
      </c>
      <c r="L61" s="30" t="str">
        <f ca="1">IFERROR(IF(AND(MASTER!$K$1=MASTER!$N$2,MASTER!K61="X"),"",IF(AND(MASTER!$J$1=MASTER!$N$2,MASTER!J61="X"),"",IF(AND(MASTER!$I$1=MASTER!$N$2,MASTER!I61="X"),"",IF(AND(MASTER!$H$1=MASTER!$N$2,MASTER!H61="X"),"",IF(AND(MASTER!$G$1=MASTER!$N$2,MASTER!G61="X"),"",IF(AND(MASTER!$F$1=MASTER!$N$2,MASTER!F61="X"),"",IF(AND(MASTER!$E$1=MASTER!$N$2,MASTER!E61="X"),"",IF(AND($Q$2&lt;&gt;D61,$Q$2&lt;&gt;E61,$Q$2&lt;&gt;F61,I61="6 to 2",J61=FALSE,K61=FALSE),B61,"")))))))), "")</f>
        <v/>
      </c>
      <c r="M61" s="34" t="str">
        <f ca="1">IFERROR(IF(AND(MASTER!$K$1=MASTER!$N$2,MASTER!K61="X"),"",IF(AND(MASTER!$J$1=MASTER!$N$2,MASTER!J61="X"),"",IF(AND(MASTER!$I$1=MASTER!$N$2,MASTER!I61="X"),"",IF(AND(MASTER!$H$1=MASTER!$N$2,MASTER!H61="X"),"",IF(AND(MASTER!$G$1=MASTER!$N$2,MASTER!G61="X"),"",IF(AND(MASTER!$F$1=MASTER!$N$2,MASTER!F61="X"),"",IF(AND(MASTER!$E$1=MASTER!$N$2,MASTER!E61="X"),"",IF(AND($Q$2&lt;&gt;D61,$Q$2&lt;&gt;E61,$Q$2&lt;&gt;F61,I61="2 to 10",J61=FALSE,K61=FALSE),B61,"")))))))), "")</f>
        <v/>
      </c>
      <c r="N61" s="44" t="str">
        <f ca="1">IFERROR(IF(AND(MASTER!$K$1=MASTER!$N$2,MASTER!K61="X"),"",IF(AND(MASTER!$J$1=MASTER!$N$2,MASTER!J61="X"),"",IF(AND(MASTER!$I$1=MASTER!$N$2,MASTER!I61="X"),"",IF(AND(MASTER!$H$1=MASTER!$N$2,MASTER!H61="X"),"",IF(AND(MASTER!$G$1=MASTER!$N$2,MASTER!G61="X"),"",IF(AND(MASTER!$F$1=MASTER!$N$2,MASTER!F61="X"),"",IF(AND(MASTER!$E$1=MASTER!$N$2,MASTER!E61="X"),"",IF(AND($Q$2&lt;&gt;D61,$Q$2&lt;&gt;E61,$Q$2&lt;&gt;F61,I61="10 to 6",J61=FALSE,K61=FALSE),B61,"")))))))), "")</f>
        <v>Jordan White</v>
      </c>
    </row>
    <row r="62" spans="1:14" ht="16" thickBot="1" x14ac:dyDescent="0.25">
      <c r="A62">
        <v>61</v>
      </c>
      <c r="B62" s="51" t="s">
        <v>90</v>
      </c>
      <c r="C62" s="27">
        <f ca="1">IFERROR(IF(H62="NEW HIRE",100,IF($P$2-H62&lt;=100,$P$2-H62,IF($P$2-H62&gt;=365,0,))), 0)</f>
        <v>0</v>
      </c>
      <c r="D62" t="s">
        <v>5</v>
      </c>
      <c r="E62" t="s">
        <v>6</v>
      </c>
      <c r="F62" t="s">
        <v>2</v>
      </c>
      <c r="G62" s="38">
        <f ca="1">IF(AND(MASTER!K62&lt;&gt;"X",MASTER!K62&lt;&gt;"",MASTER!$K$2&lt;&gt;BUCKET!H62, MASTER!$K$2&lt;=MASTER!$M$2),MASTER!$K$2,IF(AND(MASTER!J62&lt;&gt;"X",MASTER!J62&lt;&gt;"",MASTER!$J$2&lt;&gt;BUCKET!H62, MASTER!$J$2&lt;=MASTER!$M$2),MASTER!$J$2,IF(AND(MASTER!I62&lt;&gt;"X",MASTER!I62&lt;&gt;"",MASTER!$I$2&lt;&gt;BUCKET!H62, MASTER!$I$2&lt;=MASTER!$M$2),MASTER!$I$2, IF(AND(MASTER!H62&lt;&gt;"X", MASTER!H62&lt;&gt;"", MASTER!$H$2&lt;&gt;BUCKET!H62, MASTER!$H$2&lt;=MASTER!$M$2), MASTER!$H$2, IF(AND(MASTER!G62&lt;&gt;"X", MASTER!G62&lt;&gt;"", MASTER!$G$2&lt;&gt;BUCKET!H62, MASTER!$G$2&lt;=MASTER!$M$2), MASTER!$H$2, IF(AND(MASTER!G62&lt;&gt;"X", MASTER!G62&lt;&gt;"", MASTER!$G$2&lt;&gt;BUCKET!H62, MASTER!$F$2&lt;=MASTER!$M$2), MASTER!$G$2, IF(AND(MASTER!F62&lt;&gt;"X", MASTER!F62&lt;&gt;"", MASTER!$F$2&lt;&gt;BUCKET!H62, MASTER!$F$2&lt;=MASTER!$M$2), MASTER!$F$2, IF(AND(MASTER!E62&lt;&gt;"X", MASTER!E62&lt;&gt;"", MASTER!$E$2&lt;&gt;BUCKET!H62, MASTER!$E$2&lt;=MASTER!$M$2), MASTER!$E$2, IF(AND( MASTER!D62&lt;&gt;"", MASTER!D62&lt;&gt;BUCKET!H62), MASTER!D62, IF(AND(MASTER!C62&lt;&gt;"X", MASTER!C62&lt;&gt;""), MASTER!C62))))))))))</f>
        <v>44235</v>
      </c>
      <c r="H62" s="35">
        <f ca="1">IF(AND(MASTER!K63&lt;&gt;"X", MASTER!K63&lt;&gt;"", MASTER!$K$2&lt;=MASTER!$M$2), MASTER!$K$2, IF(AND(MASTER!J63&lt;&gt;"X", MASTER!J63&lt;&gt;"", MASTER!$J$2&lt;=MASTER!$M$2),MASTER!$J$2, IF(AND(MASTER!I63&lt;&gt;"X", MASTER!I63&lt;&gt;"", MASTER!$I$2&lt;=MASTER!$M$2),MASTER!$I$2, IF(AND(MASTER!H63&lt;&gt;"X", MASTER!H63&lt;&gt;"", MASTER!$H$2&lt;=MASTER!$M$2),MASTER!$H$2, IF(AND(MASTER!G63&lt;&gt;"X", MASTER!G63&lt;&gt;"", MASTER!$F$2&lt;=MASTER!$M$2),MASTER!$G$2, IF(AND(MASTER!F63&lt;&gt;"X", MASTER!F63&lt;&gt;"", MASTER!$F$2&lt;=MASTER!$M$2), MASTER!$F$2, IF(AND(MASTER!E63&lt;&gt;"X", MASTER!E63&lt;&gt;"", MASTER!$E$2&lt;=MASTER!$M$2),MASTER!$E$2, IF(MASTER!D63&lt;&gt;"", MASTER!D63,""))))))))</f>
        <v>44236</v>
      </c>
      <c r="I62" s="8" t="s">
        <v>13</v>
      </c>
      <c r="J62" s="27" t="b">
        <f ca="1">IFERROR(IF(H62="NEW HIRE",FALSE,IF(AND((H62-G62)&lt;=1),($P$2-H62)&lt;=1)), "")</f>
        <v>0</v>
      </c>
      <c r="K62" s="54" t="s">
        <v>19</v>
      </c>
      <c r="L62" s="30" t="str">
        <f ca="1">IFERROR(IF(AND(MASTER!$K$1=MASTER!$N$2,MASTER!K62="X"),"",IF(AND(MASTER!$J$1=MASTER!$N$2,MASTER!J62="X"),"",IF(AND(MASTER!$I$1=MASTER!$N$2,MASTER!I62="X"),"",IF(AND(MASTER!$H$1=MASTER!$N$2,MASTER!H62="X"),"",IF(AND(MASTER!$G$1=MASTER!$N$2,MASTER!G62="X"),"",IF(AND(MASTER!$F$1=MASTER!$N$2,MASTER!F62="X"),"",IF(AND(MASTER!$E$1=MASTER!$N$2,MASTER!E62="X"),"",IF(AND($Q$2&lt;&gt;D62,$Q$2&lt;&gt;E62,$Q$2&lt;&gt;F62,I62="6 to 2",J62=FALSE,K62=FALSE),B62,"")))))))), "")</f>
        <v/>
      </c>
      <c r="M62" s="34" t="str">
        <f ca="1">IFERROR(IF(AND(MASTER!$K$1=MASTER!$N$2,MASTER!K62="X"),"",IF(AND(MASTER!$J$1=MASTER!$N$2,MASTER!J62="X"),"",IF(AND(MASTER!$I$1=MASTER!$N$2,MASTER!I62="X"),"",IF(AND(MASTER!$H$1=MASTER!$N$2,MASTER!H62="X"),"",IF(AND(MASTER!$G$1=MASTER!$N$2,MASTER!G62="X"),"",IF(AND(MASTER!$F$1=MASTER!$N$2,MASTER!F62="X"),"",IF(AND(MASTER!$E$1=MASTER!$N$2,MASTER!E62="X"),"",IF(AND($Q$2&lt;&gt;D62,$Q$2&lt;&gt;E62,$Q$2&lt;&gt;F62,I62="2 to 10",J62=FALSE,K62=FALSE),B62,"")))))))), "")</f>
        <v/>
      </c>
      <c r="N62" s="44" t="str">
        <f ca="1">IFERROR(IF(AND(MASTER!$K$1=MASTER!$N$2,MASTER!K62="X"),"",IF(AND(MASTER!$J$1=MASTER!$N$2,MASTER!J62="X"),"",IF(AND(MASTER!$I$1=MASTER!$N$2,MASTER!I62="X"),"",IF(AND(MASTER!$H$1=MASTER!$N$2,MASTER!H62="X"),"",IF(AND(MASTER!$G$1=MASTER!$N$2,MASTER!G62="X"),"",IF(AND(MASTER!$F$1=MASTER!$N$2,MASTER!F62="X"),"",IF(AND(MASTER!$E$1=MASTER!$N$2,MASTER!E62="X"),"",IF(AND($Q$2&lt;&gt;D62,$Q$2&lt;&gt;E62,$Q$2&lt;&gt;F62,I62="10 to 6",J62=FALSE,K62=FALSE),B62,"")))))))), "")</f>
        <v/>
      </c>
    </row>
    <row r="63" spans="1:14" ht="16" thickBot="1" x14ac:dyDescent="0.25">
      <c r="A63">
        <v>62</v>
      </c>
      <c r="B63" s="51" t="s">
        <v>91</v>
      </c>
      <c r="C63" s="27">
        <f ca="1">IFERROR(IF(H63="NEW HIRE",100,IF($P$2-H63&lt;=100,$P$2-H63,IF($P$2-H63&gt;=365,0,))), 0)</f>
        <v>0</v>
      </c>
      <c r="D63" t="s">
        <v>4</v>
      </c>
      <c r="E63" t="s">
        <v>5</v>
      </c>
      <c r="F63" t="s">
        <v>6</v>
      </c>
      <c r="G63" s="38">
        <f ca="1">IF(AND(MASTER!K63&lt;&gt;"X",MASTER!K63&lt;&gt;"",MASTER!$K$2&lt;&gt;BUCKET!H63, MASTER!$K$2&lt;=MASTER!$M$2),MASTER!$K$2,IF(AND(MASTER!J63&lt;&gt;"X",MASTER!J63&lt;&gt;"",MASTER!$J$2&lt;&gt;BUCKET!H63, MASTER!$J$2&lt;=MASTER!$M$2),MASTER!$J$2,IF(AND(MASTER!I63&lt;&gt;"X",MASTER!I63&lt;&gt;"",MASTER!$I$2&lt;&gt;BUCKET!H63, MASTER!$I$2&lt;=MASTER!$M$2),MASTER!$I$2, IF(AND(MASTER!H63&lt;&gt;"X", MASTER!H63&lt;&gt;"", MASTER!$H$2&lt;&gt;BUCKET!H63, MASTER!$H$2&lt;=MASTER!$M$2), MASTER!$H$2, IF(AND(MASTER!G63&lt;&gt;"X", MASTER!G63&lt;&gt;"", MASTER!$G$2&lt;&gt;BUCKET!H63, MASTER!$G$2&lt;=MASTER!$M$2), MASTER!$H$2, IF(AND(MASTER!G63&lt;&gt;"X", MASTER!G63&lt;&gt;"", MASTER!$G$2&lt;&gt;BUCKET!H63, MASTER!$F$2&lt;=MASTER!$M$2), MASTER!$G$2, IF(AND(MASTER!F63&lt;&gt;"X", MASTER!F63&lt;&gt;"", MASTER!$F$2&lt;&gt;BUCKET!H63, MASTER!$F$2&lt;=MASTER!$M$2), MASTER!$F$2, IF(AND(MASTER!E63&lt;&gt;"X", MASTER!E63&lt;&gt;"", MASTER!$E$2&lt;&gt;BUCKET!H63, MASTER!$E$2&lt;=MASTER!$M$2), MASTER!$E$2, IF(AND( MASTER!D63&lt;&gt;"", MASTER!D63&lt;&gt;BUCKET!H63), MASTER!D63, IF(AND(MASTER!C63&lt;&gt;"X", MASTER!C63&lt;&gt;""), MASTER!C63))))))))))</f>
        <v>44236</v>
      </c>
      <c r="H63" s="35">
        <f ca="1">IF(AND(MASTER!K64&lt;&gt;"X", MASTER!K64&lt;&gt;"", MASTER!$K$2&lt;=MASTER!$M$2), MASTER!$K$2, IF(AND(MASTER!J64&lt;&gt;"X", MASTER!J64&lt;&gt;"", MASTER!$J$2&lt;=MASTER!$M$2),MASTER!$J$2, IF(AND(MASTER!I64&lt;&gt;"X", MASTER!I64&lt;&gt;"", MASTER!$I$2&lt;=MASTER!$M$2),MASTER!$I$2, IF(AND(MASTER!H64&lt;&gt;"X", MASTER!H64&lt;&gt;"", MASTER!$H$2&lt;=MASTER!$M$2),MASTER!$H$2, IF(AND(MASTER!G64&lt;&gt;"X", MASTER!G64&lt;&gt;"", MASTER!$F$2&lt;=MASTER!$M$2),MASTER!$G$2, IF(AND(MASTER!F64&lt;&gt;"X", MASTER!F64&lt;&gt;"", MASTER!$F$2&lt;=MASTER!$M$2), MASTER!$F$2, IF(AND(MASTER!E64&lt;&gt;"X", MASTER!E64&lt;&gt;"", MASTER!$E$2&lt;=MASTER!$M$2),MASTER!$E$2, IF(MASTER!D64&lt;&gt;"", MASTER!D64,""))))))))</f>
        <v>44237</v>
      </c>
      <c r="I63" s="8" t="s">
        <v>13</v>
      </c>
      <c r="J63" s="27" t="b">
        <f ca="1">IFERROR(IF(H63="NEW HIRE",FALSE,IF(AND((H63-G63)&lt;=1),($P$2-H63)&lt;=1)), "")</f>
        <v>0</v>
      </c>
      <c r="K63" s="54" t="b">
        <v>0</v>
      </c>
      <c r="L63" s="30" t="str">
        <f ca="1">IFERROR(IF(AND(MASTER!$K$1=MASTER!$N$2,MASTER!K63="X"),"",IF(AND(MASTER!$J$1=MASTER!$N$2,MASTER!J63="X"),"",IF(AND(MASTER!$I$1=MASTER!$N$2,MASTER!I63="X"),"",IF(AND(MASTER!$H$1=MASTER!$N$2,MASTER!H63="X"),"",IF(AND(MASTER!$G$1=MASTER!$N$2,MASTER!G63="X"),"",IF(AND(MASTER!$F$1=MASTER!$N$2,MASTER!F63="X"),"",IF(AND(MASTER!$E$1=MASTER!$N$2,MASTER!E63="X"),"",IF(AND($Q$2&lt;&gt;D63,$Q$2&lt;&gt;E63,$Q$2&lt;&gt;F63,I63="6 to 2",J63=FALSE,K63=FALSE),B63,"")))))))), "")</f>
        <v/>
      </c>
      <c r="M63" s="34" t="str">
        <f ca="1">IFERROR(IF(AND(MASTER!$K$1=MASTER!$N$2,MASTER!K63="X"),"",IF(AND(MASTER!$J$1=MASTER!$N$2,MASTER!J63="X"),"",IF(AND(MASTER!$I$1=MASTER!$N$2,MASTER!I63="X"),"",IF(AND(MASTER!$H$1=MASTER!$N$2,MASTER!H63="X"),"",IF(AND(MASTER!$G$1=MASTER!$N$2,MASTER!G63="X"),"",IF(AND(MASTER!$F$1=MASTER!$N$2,MASTER!F63="X"),"",IF(AND(MASTER!$E$1=MASTER!$N$2,MASTER!E63="X"),"",IF(AND($Q$2&lt;&gt;D63,$Q$2&lt;&gt;E63,$Q$2&lt;&gt;F63,I63="2 to 10",J63=FALSE,K63=FALSE),B63,"")))))))), "")</f>
        <v/>
      </c>
      <c r="N63" s="44" t="str">
        <f ca="1">IFERROR(IF(AND(MASTER!$K$1=MASTER!$N$2,MASTER!K63="X"),"",IF(AND(MASTER!$J$1=MASTER!$N$2,MASTER!J63="X"),"",IF(AND(MASTER!$I$1=MASTER!$N$2,MASTER!I63="X"),"",IF(AND(MASTER!$H$1=MASTER!$N$2,MASTER!H63="X"),"",IF(AND(MASTER!$G$1=MASTER!$N$2,MASTER!G63="X"),"",IF(AND(MASTER!$F$1=MASTER!$N$2,MASTER!F63="X"),"",IF(AND(MASTER!$E$1=MASTER!$N$2,MASTER!E63="X"),"",IF(AND($Q$2&lt;&gt;D63,$Q$2&lt;&gt;E63,$Q$2&lt;&gt;F63,I63="10 to 6",J63=FALSE,K63=FALSE),B63,"")))))))), "")</f>
        <v/>
      </c>
    </row>
    <row r="64" spans="1:14" ht="16" thickBot="1" x14ac:dyDescent="0.25">
      <c r="A64">
        <v>63</v>
      </c>
      <c r="B64" s="51" t="s">
        <v>92</v>
      </c>
      <c r="C64" s="27">
        <f ca="1">IFERROR(IF(H64="NEW HIRE",100,IF($P$2-H64&lt;=100,$P$2-H64,IF($P$2-H64&gt;=365,0,))), 0)</f>
        <v>0</v>
      </c>
      <c r="D64" t="s">
        <v>4</v>
      </c>
      <c r="E64" t="s">
        <v>5</v>
      </c>
      <c r="F64" t="s">
        <v>6</v>
      </c>
      <c r="G64" s="38">
        <f ca="1">IF(AND(MASTER!K64&lt;&gt;"X",MASTER!K64&lt;&gt;"",MASTER!$K$2&lt;&gt;BUCKET!H64, MASTER!$K$2&lt;=MASTER!$M$2),MASTER!$K$2,IF(AND(MASTER!J64&lt;&gt;"X",MASTER!J64&lt;&gt;"",MASTER!$J$2&lt;&gt;BUCKET!H64, MASTER!$J$2&lt;=MASTER!$M$2),MASTER!$J$2,IF(AND(MASTER!I64&lt;&gt;"X",MASTER!I64&lt;&gt;"",MASTER!$I$2&lt;&gt;BUCKET!H64, MASTER!$I$2&lt;=MASTER!$M$2),MASTER!$I$2, IF(AND(MASTER!H64&lt;&gt;"X", MASTER!H64&lt;&gt;"", MASTER!$H$2&lt;&gt;BUCKET!H64, MASTER!$H$2&lt;=MASTER!$M$2), MASTER!$H$2, IF(AND(MASTER!G64&lt;&gt;"X", MASTER!G64&lt;&gt;"", MASTER!$G$2&lt;&gt;BUCKET!H64, MASTER!$G$2&lt;=MASTER!$M$2), MASTER!$H$2, IF(AND(MASTER!G64&lt;&gt;"X", MASTER!G64&lt;&gt;"", MASTER!$G$2&lt;&gt;BUCKET!H64, MASTER!$F$2&lt;=MASTER!$M$2), MASTER!$G$2, IF(AND(MASTER!F64&lt;&gt;"X", MASTER!F64&lt;&gt;"", MASTER!$F$2&lt;&gt;BUCKET!H64, MASTER!$F$2&lt;=MASTER!$M$2), MASTER!$F$2, IF(AND(MASTER!E64&lt;&gt;"X", MASTER!E64&lt;&gt;"", MASTER!$E$2&lt;&gt;BUCKET!H64, MASTER!$E$2&lt;=MASTER!$M$2), MASTER!$E$2, IF(AND( MASTER!D64&lt;&gt;"", MASTER!D64&lt;&gt;BUCKET!H64), MASTER!D64, IF(AND(MASTER!C64&lt;&gt;"X", MASTER!C64&lt;&gt;""), MASTER!C64))))))))))</f>
        <v>44237</v>
      </c>
      <c r="H64" s="35">
        <f ca="1">IF(AND(MASTER!K65&lt;&gt;"X", MASTER!K65&lt;&gt;"", MASTER!$K$2&lt;=MASTER!$M$2), MASTER!$K$2, IF(AND(MASTER!J65&lt;&gt;"X", MASTER!J65&lt;&gt;"", MASTER!$J$2&lt;=MASTER!$M$2),MASTER!$J$2, IF(AND(MASTER!I65&lt;&gt;"X", MASTER!I65&lt;&gt;"", MASTER!$I$2&lt;=MASTER!$M$2),MASTER!$I$2, IF(AND(MASTER!H65&lt;&gt;"X", MASTER!H65&lt;&gt;"", MASTER!$H$2&lt;=MASTER!$M$2),MASTER!$H$2, IF(AND(MASTER!G65&lt;&gt;"X", MASTER!G65&lt;&gt;"", MASTER!$F$2&lt;=MASTER!$M$2),MASTER!$G$2, IF(AND(MASTER!F65&lt;&gt;"X", MASTER!F65&lt;&gt;"", MASTER!$F$2&lt;=MASTER!$M$2), MASTER!$F$2, IF(AND(MASTER!E65&lt;&gt;"X", MASTER!E65&lt;&gt;"", MASTER!$E$2&lt;=MASTER!$M$2),MASTER!$E$2, IF(MASTER!D65&lt;&gt;"", MASTER!D65,""))))))))</f>
        <v>44238</v>
      </c>
      <c r="I64" s="8" t="s">
        <v>13</v>
      </c>
      <c r="J64" s="27" t="b">
        <f ca="1">IFERROR(IF(H64="NEW HIRE",FALSE,IF(AND((H64-G64)&lt;=1),($P$2-H64)&lt;=1)), "")</f>
        <v>0</v>
      </c>
      <c r="K64" s="54" t="b">
        <v>0</v>
      </c>
      <c r="L64" s="30" t="str">
        <f ca="1">IFERROR(IF(AND(MASTER!$K$1=MASTER!$N$2,MASTER!K64="X"),"",IF(AND(MASTER!$J$1=MASTER!$N$2,MASTER!J64="X"),"",IF(AND(MASTER!$I$1=MASTER!$N$2,MASTER!I64="X"),"",IF(AND(MASTER!$H$1=MASTER!$N$2,MASTER!H64="X"),"",IF(AND(MASTER!$G$1=MASTER!$N$2,MASTER!G64="X"),"",IF(AND(MASTER!$F$1=MASTER!$N$2,MASTER!F64="X"),"",IF(AND(MASTER!$E$1=MASTER!$N$2,MASTER!E64="X"),"",IF(AND($Q$2&lt;&gt;D64,$Q$2&lt;&gt;E64,$Q$2&lt;&gt;F64,I64="6 to 2",J64=FALSE,K64=FALSE),B64,"")))))))), "")</f>
        <v/>
      </c>
      <c r="M64" s="34" t="str">
        <f ca="1">IFERROR(IF(AND(MASTER!$K$1=MASTER!$N$2,MASTER!K64="X"),"",IF(AND(MASTER!$J$1=MASTER!$N$2,MASTER!J64="X"),"",IF(AND(MASTER!$I$1=MASTER!$N$2,MASTER!I64="X"),"",IF(AND(MASTER!$H$1=MASTER!$N$2,MASTER!H64="X"),"",IF(AND(MASTER!$G$1=MASTER!$N$2,MASTER!G64="X"),"",IF(AND(MASTER!$F$1=MASTER!$N$2,MASTER!F64="X"),"",IF(AND(MASTER!$E$1=MASTER!$N$2,MASTER!E64="X"),"",IF(AND($Q$2&lt;&gt;D64,$Q$2&lt;&gt;E64,$Q$2&lt;&gt;F64,I64="2 to 10",J64=FALSE,K64=FALSE),B64,"")))))))), "")</f>
        <v/>
      </c>
      <c r="N64" s="44" t="str">
        <f ca="1">IFERROR(IF(AND(MASTER!$K$1=MASTER!$N$2,MASTER!K64="X"),"",IF(AND(MASTER!$J$1=MASTER!$N$2,MASTER!J64="X"),"",IF(AND(MASTER!$I$1=MASTER!$N$2,MASTER!I64="X"),"",IF(AND(MASTER!$H$1=MASTER!$N$2,MASTER!H64="X"),"",IF(AND(MASTER!$G$1=MASTER!$N$2,MASTER!G64="X"),"",IF(AND(MASTER!$F$1=MASTER!$N$2,MASTER!F64="X"),"",IF(AND(MASTER!$E$1=MASTER!$N$2,MASTER!E64="X"),"",IF(AND($Q$2&lt;&gt;D64,$Q$2&lt;&gt;E64,$Q$2&lt;&gt;F64,I64="10 to 6",J64=FALSE,K64=FALSE),B64,"")))))))), "")</f>
        <v/>
      </c>
    </row>
    <row r="65" spans="1:14" ht="16" thickBot="1" x14ac:dyDescent="0.25">
      <c r="A65">
        <v>64</v>
      </c>
      <c r="B65" s="51" t="s">
        <v>93</v>
      </c>
      <c r="C65" s="27">
        <f ca="1">IFERROR(IF(H65="NEW HIRE",100,IF($P$2-H65&lt;=100,$P$2-H65,IF($P$2-H65&gt;=365,0,))), 0)</f>
        <v>0</v>
      </c>
      <c r="D65" t="s">
        <v>4</v>
      </c>
      <c r="E65" t="s">
        <v>5</v>
      </c>
      <c r="F65" t="s">
        <v>6</v>
      </c>
      <c r="G65" s="38">
        <f ca="1">IF(AND(MASTER!K65&lt;&gt;"X",MASTER!K65&lt;&gt;"",MASTER!$K$2&lt;&gt;BUCKET!H65, MASTER!$K$2&lt;=MASTER!$M$2),MASTER!$K$2,IF(AND(MASTER!J65&lt;&gt;"X",MASTER!J65&lt;&gt;"",MASTER!$J$2&lt;&gt;BUCKET!H65, MASTER!$J$2&lt;=MASTER!$M$2),MASTER!$J$2,IF(AND(MASTER!I65&lt;&gt;"X",MASTER!I65&lt;&gt;"",MASTER!$I$2&lt;&gt;BUCKET!H65, MASTER!$I$2&lt;=MASTER!$M$2),MASTER!$I$2, IF(AND(MASTER!H65&lt;&gt;"X", MASTER!H65&lt;&gt;"", MASTER!$H$2&lt;&gt;BUCKET!H65, MASTER!$H$2&lt;=MASTER!$M$2), MASTER!$H$2, IF(AND(MASTER!G65&lt;&gt;"X", MASTER!G65&lt;&gt;"", MASTER!$G$2&lt;&gt;BUCKET!H65, MASTER!$G$2&lt;=MASTER!$M$2), MASTER!$H$2, IF(AND(MASTER!G65&lt;&gt;"X", MASTER!G65&lt;&gt;"", MASTER!$G$2&lt;&gt;BUCKET!H65, MASTER!$F$2&lt;=MASTER!$M$2), MASTER!$G$2, IF(AND(MASTER!F65&lt;&gt;"X", MASTER!F65&lt;&gt;"", MASTER!$F$2&lt;&gt;BUCKET!H65, MASTER!$F$2&lt;=MASTER!$M$2), MASTER!$F$2, IF(AND(MASTER!E65&lt;&gt;"X", MASTER!E65&lt;&gt;"", MASTER!$E$2&lt;&gt;BUCKET!H65, MASTER!$E$2&lt;=MASTER!$M$2), MASTER!$E$2, IF(AND( MASTER!D65&lt;&gt;"", MASTER!D65&lt;&gt;BUCKET!H65), MASTER!D65, IF(AND(MASTER!C65&lt;&gt;"X", MASTER!C65&lt;&gt;""), MASTER!C65))))))))))</f>
        <v>44238</v>
      </c>
      <c r="H65" s="35">
        <f ca="1">IF(AND(MASTER!K66&lt;&gt;"X", MASTER!K66&lt;&gt;"", MASTER!$K$2&lt;=MASTER!$M$2), MASTER!$K$2, IF(AND(MASTER!J66&lt;&gt;"X", MASTER!J66&lt;&gt;"", MASTER!$J$2&lt;=MASTER!$M$2),MASTER!$J$2, IF(AND(MASTER!I66&lt;&gt;"X", MASTER!I66&lt;&gt;"", MASTER!$I$2&lt;=MASTER!$M$2),MASTER!$I$2, IF(AND(MASTER!H66&lt;&gt;"X", MASTER!H66&lt;&gt;"", MASTER!$H$2&lt;=MASTER!$M$2),MASTER!$H$2, IF(AND(MASTER!G66&lt;&gt;"X", MASTER!G66&lt;&gt;"", MASTER!$F$2&lt;=MASTER!$M$2),MASTER!$G$2, IF(AND(MASTER!F66&lt;&gt;"X", MASTER!F66&lt;&gt;"", MASTER!$F$2&lt;=MASTER!$M$2), MASTER!$F$2, IF(AND(MASTER!E66&lt;&gt;"X", MASTER!E66&lt;&gt;"", MASTER!$E$2&lt;=MASTER!$M$2),MASTER!$E$2, IF(MASTER!D66&lt;&gt;"", MASTER!D66,""))))))))</f>
        <v>44239</v>
      </c>
      <c r="I65" s="8" t="s">
        <v>12</v>
      </c>
      <c r="J65" s="27" t="b">
        <f ca="1">IFERROR(IF(H65="NEW HIRE",FALSE,IF(AND((H65-G65)&lt;=1),($P$2-H65)&lt;=1)), "")</f>
        <v>0</v>
      </c>
      <c r="K65" s="54" t="b">
        <v>0</v>
      </c>
      <c r="L65" s="30" t="str">
        <f ca="1">IFERROR(IF(AND(MASTER!$K$1=MASTER!$N$2,MASTER!K65="X"),"",IF(AND(MASTER!$J$1=MASTER!$N$2,MASTER!J65="X"),"",IF(AND(MASTER!$I$1=MASTER!$N$2,MASTER!I65="X"),"",IF(AND(MASTER!$H$1=MASTER!$N$2,MASTER!H65="X"),"",IF(AND(MASTER!$G$1=MASTER!$N$2,MASTER!G65="X"),"",IF(AND(MASTER!$F$1=MASTER!$N$2,MASTER!F65="X"),"",IF(AND(MASTER!$E$1=MASTER!$N$2,MASTER!E65="X"),"",IF(AND($Q$2&lt;&gt;D65,$Q$2&lt;&gt;E65,$Q$2&lt;&gt;F65,I65="6 to 2",J65=FALSE,K65=FALSE),B65,"")))))))), "")</f>
        <v/>
      </c>
      <c r="M65" s="34" t="str">
        <f ca="1">IFERROR(IF(AND(MASTER!$K$1=MASTER!$N$2,MASTER!K65="X"),"",IF(AND(MASTER!$J$1=MASTER!$N$2,MASTER!J65="X"),"",IF(AND(MASTER!$I$1=MASTER!$N$2,MASTER!I65="X"),"",IF(AND(MASTER!$H$1=MASTER!$N$2,MASTER!H65="X"),"",IF(AND(MASTER!$G$1=MASTER!$N$2,MASTER!G65="X"),"",IF(AND(MASTER!$F$1=MASTER!$N$2,MASTER!F65="X"),"",IF(AND(MASTER!$E$1=MASTER!$N$2,MASTER!E65="X"),"",IF(AND($Q$2&lt;&gt;D65,$Q$2&lt;&gt;E65,$Q$2&lt;&gt;F65,I65="2 to 10",J65=FALSE,K65=FALSE),B65,"")))))))), "")</f>
        <v/>
      </c>
      <c r="N65" s="44" t="str">
        <f ca="1">IFERROR(IF(AND(MASTER!$K$1=MASTER!$N$2,MASTER!K65="X"),"",IF(AND(MASTER!$J$1=MASTER!$N$2,MASTER!J65="X"),"",IF(AND(MASTER!$I$1=MASTER!$N$2,MASTER!I65="X"),"",IF(AND(MASTER!$H$1=MASTER!$N$2,MASTER!H65="X"),"",IF(AND(MASTER!$G$1=MASTER!$N$2,MASTER!G65="X"),"",IF(AND(MASTER!$F$1=MASTER!$N$2,MASTER!F65="X"),"",IF(AND(MASTER!$E$1=MASTER!$N$2,MASTER!E65="X"),"",IF(AND($Q$2&lt;&gt;D65,$Q$2&lt;&gt;E65,$Q$2&lt;&gt;F65,I65="10 to 6",J65=FALSE,K65=FALSE),B65,"")))))))), "")</f>
        <v/>
      </c>
    </row>
    <row r="66" spans="1:14" ht="16" thickBot="1" x14ac:dyDescent="0.25">
      <c r="A66">
        <v>65</v>
      </c>
      <c r="B66" s="51" t="s">
        <v>94</v>
      </c>
      <c r="C66" s="27">
        <f ca="1">IFERROR(IF(H66="NEW HIRE",100,IF($P$2-H66&lt;=100,$P$2-H66,IF($P$2-H66&gt;=365,0,))), 0)</f>
        <v>0</v>
      </c>
      <c r="D66" t="s">
        <v>8</v>
      </c>
      <c r="E66" t="s">
        <v>3</v>
      </c>
      <c r="F66" t="s">
        <v>4</v>
      </c>
      <c r="G66" s="38">
        <f ca="1">IF(AND(MASTER!K66&lt;&gt;"X",MASTER!K66&lt;&gt;"",MASTER!$K$2&lt;&gt;BUCKET!H66, MASTER!$K$2&lt;=MASTER!$M$2),MASTER!$K$2,IF(AND(MASTER!J66&lt;&gt;"X",MASTER!J66&lt;&gt;"",MASTER!$J$2&lt;&gt;BUCKET!H66, MASTER!$J$2&lt;=MASTER!$M$2),MASTER!$J$2,IF(AND(MASTER!I66&lt;&gt;"X",MASTER!I66&lt;&gt;"",MASTER!$I$2&lt;&gt;BUCKET!H66, MASTER!$I$2&lt;=MASTER!$M$2),MASTER!$I$2, IF(AND(MASTER!H66&lt;&gt;"X", MASTER!H66&lt;&gt;"", MASTER!$H$2&lt;&gt;BUCKET!H66, MASTER!$H$2&lt;=MASTER!$M$2), MASTER!$H$2, IF(AND(MASTER!G66&lt;&gt;"X", MASTER!G66&lt;&gt;"", MASTER!$G$2&lt;&gt;BUCKET!H66, MASTER!$G$2&lt;=MASTER!$M$2), MASTER!$H$2, IF(AND(MASTER!G66&lt;&gt;"X", MASTER!G66&lt;&gt;"", MASTER!$G$2&lt;&gt;BUCKET!H66, MASTER!$F$2&lt;=MASTER!$M$2), MASTER!$G$2, IF(AND(MASTER!F66&lt;&gt;"X", MASTER!F66&lt;&gt;"", MASTER!$F$2&lt;&gt;BUCKET!H66, MASTER!$F$2&lt;=MASTER!$M$2), MASTER!$F$2, IF(AND(MASTER!E66&lt;&gt;"X", MASTER!E66&lt;&gt;"", MASTER!$E$2&lt;&gt;BUCKET!H66, MASTER!$E$2&lt;=MASTER!$M$2), MASTER!$E$2, IF(AND( MASTER!D66&lt;&gt;"", MASTER!D66&lt;&gt;BUCKET!H66), MASTER!D66, IF(AND(MASTER!C66&lt;&gt;"X", MASTER!C66&lt;&gt;""), MASTER!C66))))))))))</f>
        <v>44239</v>
      </c>
      <c r="H66" s="35">
        <f ca="1">IF(AND(MASTER!K67&lt;&gt;"X", MASTER!K67&lt;&gt;"", MASTER!$K$2&lt;=MASTER!$M$2), MASTER!$K$2, IF(AND(MASTER!J67&lt;&gt;"X", MASTER!J67&lt;&gt;"", MASTER!$J$2&lt;=MASTER!$M$2),MASTER!$J$2, IF(AND(MASTER!I67&lt;&gt;"X", MASTER!I67&lt;&gt;"", MASTER!$I$2&lt;=MASTER!$M$2),MASTER!$I$2, IF(AND(MASTER!H67&lt;&gt;"X", MASTER!H67&lt;&gt;"", MASTER!$H$2&lt;=MASTER!$M$2),MASTER!$H$2, IF(AND(MASTER!G67&lt;&gt;"X", MASTER!G67&lt;&gt;"", MASTER!$F$2&lt;=MASTER!$M$2),MASTER!$G$2, IF(AND(MASTER!F67&lt;&gt;"X", MASTER!F67&lt;&gt;"", MASTER!$F$2&lt;=MASTER!$M$2), MASTER!$F$2, IF(AND(MASTER!E67&lt;&gt;"X", MASTER!E67&lt;&gt;"", MASTER!$E$2&lt;=MASTER!$M$2),MASTER!$E$2, IF(MASTER!D67&lt;&gt;"", MASTER!D67,""))))))))</f>
        <v>44240</v>
      </c>
      <c r="I66" s="8" t="s">
        <v>12</v>
      </c>
      <c r="J66" s="27" t="b">
        <f ca="1">IFERROR(IF(H66="NEW HIRE",FALSE,IF(AND((H66-G66)&lt;=1),($P$2-H66)&lt;=1)), "")</f>
        <v>0</v>
      </c>
      <c r="K66" s="54" t="b">
        <v>0</v>
      </c>
      <c r="L66" s="30" t="str">
        <f ca="1">IFERROR(IF(AND(MASTER!$K$1=MASTER!$N$2,MASTER!K66="X"),"",IF(AND(MASTER!$J$1=MASTER!$N$2,MASTER!J66="X"),"",IF(AND(MASTER!$I$1=MASTER!$N$2,MASTER!I66="X"),"",IF(AND(MASTER!$H$1=MASTER!$N$2,MASTER!H66="X"),"",IF(AND(MASTER!$G$1=MASTER!$N$2,MASTER!G66="X"),"",IF(AND(MASTER!$F$1=MASTER!$N$2,MASTER!F66="X"),"",IF(AND(MASTER!$E$1=MASTER!$N$2,MASTER!E66="X"),"",IF(AND($Q$2&lt;&gt;D66,$Q$2&lt;&gt;E66,$Q$2&lt;&gt;F66,I66="6 to 2",J66=FALSE,K66=FALSE),B66,"")))))))), "")</f>
        <v/>
      </c>
      <c r="M66" s="34" t="str">
        <f ca="1">IFERROR(IF(AND(MASTER!$K$1=MASTER!$N$2,MASTER!K66="X"),"",IF(AND(MASTER!$J$1=MASTER!$N$2,MASTER!J66="X"),"",IF(AND(MASTER!$I$1=MASTER!$N$2,MASTER!I66="X"),"",IF(AND(MASTER!$H$1=MASTER!$N$2,MASTER!H66="X"),"",IF(AND(MASTER!$G$1=MASTER!$N$2,MASTER!G66="X"),"",IF(AND(MASTER!$F$1=MASTER!$N$2,MASTER!F66="X"),"",IF(AND(MASTER!$E$1=MASTER!$N$2,MASTER!E66="X"),"",IF(AND($Q$2&lt;&gt;D66,$Q$2&lt;&gt;E66,$Q$2&lt;&gt;F66,I66="2 to 10",J66=FALSE,K66=FALSE),B66,"")))))))), "")</f>
        <v>Jordan Johnson</v>
      </c>
      <c r="N66" s="44" t="str">
        <f ca="1">IFERROR(IF(AND(MASTER!$K$1=MASTER!$N$2,MASTER!K66="X"),"",IF(AND(MASTER!$J$1=MASTER!$N$2,MASTER!J66="X"),"",IF(AND(MASTER!$I$1=MASTER!$N$2,MASTER!I66="X"),"",IF(AND(MASTER!$H$1=MASTER!$N$2,MASTER!H66="X"),"",IF(AND(MASTER!$G$1=MASTER!$N$2,MASTER!G66="X"),"",IF(AND(MASTER!$F$1=MASTER!$N$2,MASTER!F66="X"),"",IF(AND(MASTER!$E$1=MASTER!$N$2,MASTER!E66="X"),"",IF(AND($Q$2&lt;&gt;D66,$Q$2&lt;&gt;E66,$Q$2&lt;&gt;F66,I66="10 to 6",J66=FALSE,K66=FALSE),B66,"")))))))), "")</f>
        <v/>
      </c>
    </row>
    <row r="67" spans="1:14" ht="16" thickBot="1" x14ac:dyDescent="0.25">
      <c r="A67">
        <v>66</v>
      </c>
      <c r="B67" s="51" t="s">
        <v>90</v>
      </c>
      <c r="C67" s="27">
        <f ca="1">IFERROR(IF(H67="NEW HIRE",100,IF($P$2-H67&lt;=100,$P$2-H67,IF($P$2-H67&gt;=365,0,))), 0)</f>
        <v>0</v>
      </c>
      <c r="D67" t="s">
        <v>7</v>
      </c>
      <c r="E67" t="s">
        <v>8</v>
      </c>
      <c r="F67" t="s">
        <v>3</v>
      </c>
      <c r="G67" s="38">
        <f ca="1">IF(AND(MASTER!K67&lt;&gt;"X",MASTER!K67&lt;&gt;"",MASTER!$K$2&lt;&gt;BUCKET!H67, MASTER!$K$2&lt;=MASTER!$M$2),MASTER!$K$2,IF(AND(MASTER!J67&lt;&gt;"X",MASTER!J67&lt;&gt;"",MASTER!$J$2&lt;&gt;BUCKET!H67, MASTER!$J$2&lt;=MASTER!$M$2),MASTER!$J$2,IF(AND(MASTER!I67&lt;&gt;"X",MASTER!I67&lt;&gt;"",MASTER!$I$2&lt;&gt;BUCKET!H67, MASTER!$I$2&lt;=MASTER!$M$2),MASTER!$I$2, IF(AND(MASTER!H67&lt;&gt;"X", MASTER!H67&lt;&gt;"", MASTER!$H$2&lt;&gt;BUCKET!H67, MASTER!$H$2&lt;=MASTER!$M$2), MASTER!$H$2, IF(AND(MASTER!G67&lt;&gt;"X", MASTER!G67&lt;&gt;"", MASTER!$G$2&lt;&gt;BUCKET!H67, MASTER!$G$2&lt;=MASTER!$M$2), MASTER!$H$2, IF(AND(MASTER!G67&lt;&gt;"X", MASTER!G67&lt;&gt;"", MASTER!$G$2&lt;&gt;BUCKET!H67, MASTER!$F$2&lt;=MASTER!$M$2), MASTER!$G$2, IF(AND(MASTER!F67&lt;&gt;"X", MASTER!F67&lt;&gt;"", MASTER!$F$2&lt;&gt;BUCKET!H67, MASTER!$F$2&lt;=MASTER!$M$2), MASTER!$F$2, IF(AND(MASTER!E67&lt;&gt;"X", MASTER!E67&lt;&gt;"", MASTER!$E$2&lt;&gt;BUCKET!H67, MASTER!$E$2&lt;=MASTER!$M$2), MASTER!$E$2, IF(AND( MASTER!D67&lt;&gt;"", MASTER!D67&lt;&gt;BUCKET!H67), MASTER!D67, IF(AND(MASTER!C67&lt;&gt;"X", MASTER!C67&lt;&gt;""), MASTER!C67))))))))))</f>
        <v>44240</v>
      </c>
      <c r="H67" s="35">
        <f ca="1">IF(AND(MASTER!K68&lt;&gt;"X", MASTER!K68&lt;&gt;"", MASTER!$K$2&lt;=MASTER!$M$2), MASTER!$K$2, IF(AND(MASTER!J68&lt;&gt;"X", MASTER!J68&lt;&gt;"", MASTER!$J$2&lt;=MASTER!$M$2),MASTER!$J$2, IF(AND(MASTER!I68&lt;&gt;"X", MASTER!I68&lt;&gt;"", MASTER!$I$2&lt;=MASTER!$M$2),MASTER!$I$2, IF(AND(MASTER!H68&lt;&gt;"X", MASTER!H68&lt;&gt;"", MASTER!$H$2&lt;=MASTER!$M$2),MASTER!$H$2, IF(AND(MASTER!G68&lt;&gt;"X", MASTER!G68&lt;&gt;"", MASTER!$F$2&lt;=MASTER!$M$2),MASTER!$G$2, IF(AND(MASTER!F68&lt;&gt;"X", MASTER!F68&lt;&gt;"", MASTER!$F$2&lt;=MASTER!$M$2), MASTER!$F$2, IF(AND(MASTER!E68&lt;&gt;"X", MASTER!E68&lt;&gt;"", MASTER!$E$2&lt;=MASTER!$M$2),MASTER!$E$2, IF(MASTER!D68&lt;&gt;"", MASTER!D68,""))))))))</f>
        <v>44241</v>
      </c>
      <c r="I67" s="8" t="s">
        <v>16</v>
      </c>
      <c r="J67" s="27" t="b">
        <f ca="1">IFERROR(IF(H67="NEW HIRE",FALSE,IF(AND((H67-G67)&lt;=1),($P$2-H67)&lt;=1)), "")</f>
        <v>0</v>
      </c>
      <c r="K67" s="54" t="b">
        <v>0</v>
      </c>
      <c r="L67" s="30" t="str">
        <f ca="1">IFERROR(IF(AND(MASTER!$K$1=MASTER!$N$2,MASTER!K67="X"),"",IF(AND(MASTER!$J$1=MASTER!$N$2,MASTER!J67="X"),"",IF(AND(MASTER!$I$1=MASTER!$N$2,MASTER!I67="X"),"",IF(AND(MASTER!$H$1=MASTER!$N$2,MASTER!H67="X"),"",IF(AND(MASTER!$G$1=MASTER!$N$2,MASTER!G67="X"),"",IF(AND(MASTER!$F$1=MASTER!$N$2,MASTER!F67="X"),"",IF(AND(MASTER!$E$1=MASTER!$N$2,MASTER!E67="X"),"",IF(AND($Q$2&lt;&gt;D67,$Q$2&lt;&gt;E67,$Q$2&lt;&gt;F67,I67="6 to 2",J67=FALSE,K67=FALSE),B67,"")))))))), "")</f>
        <v/>
      </c>
      <c r="M67" s="34" t="str">
        <f ca="1">IFERROR(IF(AND(MASTER!$K$1=MASTER!$N$2,MASTER!K67="X"),"",IF(AND(MASTER!$J$1=MASTER!$N$2,MASTER!J67="X"),"",IF(AND(MASTER!$I$1=MASTER!$N$2,MASTER!I67="X"),"",IF(AND(MASTER!$H$1=MASTER!$N$2,MASTER!H67="X"),"",IF(AND(MASTER!$G$1=MASTER!$N$2,MASTER!G67="X"),"",IF(AND(MASTER!$F$1=MASTER!$N$2,MASTER!F67="X"),"",IF(AND(MASTER!$E$1=MASTER!$N$2,MASTER!E67="X"),"",IF(AND($Q$2&lt;&gt;D67,$Q$2&lt;&gt;E67,$Q$2&lt;&gt;F67,I67="2 to 10",J67=FALSE,K67=FALSE),B67,"")))))))), "")</f>
        <v/>
      </c>
      <c r="N67" s="44" t="str">
        <f ca="1">IFERROR(IF(AND(MASTER!$K$1=MASTER!$N$2,MASTER!K67="X"),"",IF(AND(MASTER!$J$1=MASTER!$N$2,MASTER!J67="X"),"",IF(AND(MASTER!$I$1=MASTER!$N$2,MASTER!I67="X"),"",IF(AND(MASTER!$H$1=MASTER!$N$2,MASTER!H67="X"),"",IF(AND(MASTER!$G$1=MASTER!$N$2,MASTER!G67="X"),"",IF(AND(MASTER!$F$1=MASTER!$N$2,MASTER!F67="X"),"",IF(AND(MASTER!$E$1=MASTER!$N$2,MASTER!E67="X"),"",IF(AND($Q$2&lt;&gt;D67,$Q$2&lt;&gt;E67,$Q$2&lt;&gt;F67,I67="10 to 6",J67=FALSE,K67=FALSE),B67,"")))))))), "")</f>
        <v>Skyler Jones</v>
      </c>
    </row>
    <row r="68" spans="1:14" ht="16" thickBot="1" x14ac:dyDescent="0.25">
      <c r="A68">
        <v>67</v>
      </c>
      <c r="B68" s="51" t="s">
        <v>95</v>
      </c>
      <c r="C68" s="27">
        <f ca="1">IFERROR(IF(H68="NEW HIRE",100,IF($P$2-H68&lt;=100,$P$2-H68,IF($P$2-H68&gt;=365,0,))), 0)</f>
        <v>0</v>
      </c>
      <c r="D68" t="s">
        <v>8</v>
      </c>
      <c r="E68" t="s">
        <v>3</v>
      </c>
      <c r="F68" t="s">
        <v>4</v>
      </c>
      <c r="G68" s="38">
        <f ca="1">IF(AND(MASTER!K68&lt;&gt;"X",MASTER!K68&lt;&gt;"",MASTER!$K$2&lt;&gt;BUCKET!H68, MASTER!$K$2&lt;=MASTER!$M$2),MASTER!$K$2,IF(AND(MASTER!J68&lt;&gt;"X",MASTER!J68&lt;&gt;"",MASTER!$J$2&lt;&gt;BUCKET!H68, MASTER!$J$2&lt;=MASTER!$M$2),MASTER!$J$2,IF(AND(MASTER!I68&lt;&gt;"X",MASTER!I68&lt;&gt;"",MASTER!$I$2&lt;&gt;BUCKET!H68, MASTER!$I$2&lt;=MASTER!$M$2),MASTER!$I$2, IF(AND(MASTER!H68&lt;&gt;"X", MASTER!H68&lt;&gt;"", MASTER!$H$2&lt;&gt;BUCKET!H68, MASTER!$H$2&lt;=MASTER!$M$2), MASTER!$H$2, IF(AND(MASTER!G68&lt;&gt;"X", MASTER!G68&lt;&gt;"", MASTER!$G$2&lt;&gt;BUCKET!H68, MASTER!$G$2&lt;=MASTER!$M$2), MASTER!$H$2, IF(AND(MASTER!G68&lt;&gt;"X", MASTER!G68&lt;&gt;"", MASTER!$G$2&lt;&gt;BUCKET!H68, MASTER!$F$2&lt;=MASTER!$M$2), MASTER!$G$2, IF(AND(MASTER!F68&lt;&gt;"X", MASTER!F68&lt;&gt;"", MASTER!$F$2&lt;&gt;BUCKET!H68, MASTER!$F$2&lt;=MASTER!$M$2), MASTER!$F$2, IF(AND(MASTER!E68&lt;&gt;"X", MASTER!E68&lt;&gt;"", MASTER!$E$2&lt;&gt;BUCKET!H68, MASTER!$E$2&lt;=MASTER!$M$2), MASTER!$E$2, IF(AND( MASTER!D68&lt;&gt;"", MASTER!D68&lt;&gt;BUCKET!H68), MASTER!D68, IF(AND(MASTER!C68&lt;&gt;"X", MASTER!C68&lt;&gt;""), MASTER!C68))))))))))</f>
        <v>44241</v>
      </c>
      <c r="H68" s="35">
        <f ca="1">IF(AND(MASTER!K69&lt;&gt;"X", MASTER!K69&lt;&gt;"", MASTER!$K$2&lt;=MASTER!$M$2), MASTER!$K$2, IF(AND(MASTER!J69&lt;&gt;"X", MASTER!J69&lt;&gt;"", MASTER!$J$2&lt;=MASTER!$M$2),MASTER!$J$2, IF(AND(MASTER!I69&lt;&gt;"X", MASTER!I69&lt;&gt;"", MASTER!$I$2&lt;=MASTER!$M$2),MASTER!$I$2, IF(AND(MASTER!H69&lt;&gt;"X", MASTER!H69&lt;&gt;"", MASTER!$H$2&lt;=MASTER!$M$2),MASTER!$H$2, IF(AND(MASTER!G69&lt;&gt;"X", MASTER!G69&lt;&gt;"", MASTER!$F$2&lt;=MASTER!$M$2),MASTER!$G$2, IF(AND(MASTER!F69&lt;&gt;"X", MASTER!F69&lt;&gt;"", MASTER!$F$2&lt;=MASTER!$M$2), MASTER!$F$2, IF(AND(MASTER!E69&lt;&gt;"X", MASTER!E69&lt;&gt;"", MASTER!$E$2&lt;=MASTER!$M$2),MASTER!$E$2, IF(MASTER!D69&lt;&gt;"", MASTER!D69,""))))))))</f>
        <v>44242</v>
      </c>
      <c r="I68" s="8" t="s">
        <v>12</v>
      </c>
      <c r="J68" s="27" t="b">
        <f ca="1">IFERROR(IF(H68="NEW HIRE",FALSE,IF(AND((H68-G68)&lt;=1),($P$2-H68)&lt;=1)), "")</f>
        <v>0</v>
      </c>
      <c r="K68" s="54" t="b">
        <v>0</v>
      </c>
      <c r="L68" s="30" t="str">
        <f ca="1">IFERROR(IF(AND(MASTER!$K$1=MASTER!$N$2,MASTER!K68="X"),"",IF(AND(MASTER!$J$1=MASTER!$N$2,MASTER!J68="X"),"",IF(AND(MASTER!$I$1=MASTER!$N$2,MASTER!I68="X"),"",IF(AND(MASTER!$H$1=MASTER!$N$2,MASTER!H68="X"),"",IF(AND(MASTER!$G$1=MASTER!$N$2,MASTER!G68="X"),"",IF(AND(MASTER!$F$1=MASTER!$N$2,MASTER!F68="X"),"",IF(AND(MASTER!$E$1=MASTER!$N$2,MASTER!E68="X"),"",IF(AND($Q$2&lt;&gt;D68,$Q$2&lt;&gt;E68,$Q$2&lt;&gt;F68,I68="6 to 2",J68=FALSE,K68=FALSE),B68,"")))))))), "")</f>
        <v/>
      </c>
      <c r="M68" s="34" t="str">
        <f ca="1">IFERROR(IF(AND(MASTER!$K$1=MASTER!$N$2,MASTER!K68="X"),"",IF(AND(MASTER!$J$1=MASTER!$N$2,MASTER!J68="X"),"",IF(AND(MASTER!$I$1=MASTER!$N$2,MASTER!I68="X"),"",IF(AND(MASTER!$H$1=MASTER!$N$2,MASTER!H68="X"),"",IF(AND(MASTER!$G$1=MASTER!$N$2,MASTER!G68="X"),"",IF(AND(MASTER!$F$1=MASTER!$N$2,MASTER!F68="X"),"",IF(AND(MASTER!$E$1=MASTER!$N$2,MASTER!E68="X"),"",IF(AND($Q$2&lt;&gt;D68,$Q$2&lt;&gt;E68,$Q$2&lt;&gt;F68,I68="2 to 10",J68=FALSE,K68=FALSE),B68,"")))))))), "")</f>
        <v>Drew Miller</v>
      </c>
      <c r="N68" s="44" t="str">
        <f ca="1">IFERROR(IF(AND(MASTER!$K$1=MASTER!$N$2,MASTER!K68="X"),"",IF(AND(MASTER!$J$1=MASTER!$N$2,MASTER!J68="X"),"",IF(AND(MASTER!$I$1=MASTER!$N$2,MASTER!I68="X"),"",IF(AND(MASTER!$H$1=MASTER!$N$2,MASTER!H68="X"),"",IF(AND(MASTER!$G$1=MASTER!$N$2,MASTER!G68="X"),"",IF(AND(MASTER!$F$1=MASTER!$N$2,MASTER!F68="X"),"",IF(AND(MASTER!$E$1=MASTER!$N$2,MASTER!E68="X"),"",IF(AND($Q$2&lt;&gt;D68,$Q$2&lt;&gt;E68,$Q$2&lt;&gt;F68,I68="10 to 6",J68=FALSE,K68=FALSE),B68,"")))))))), "")</f>
        <v/>
      </c>
    </row>
    <row r="69" spans="1:14" ht="16" thickBot="1" x14ac:dyDescent="0.25">
      <c r="A69">
        <v>68</v>
      </c>
      <c r="B69" s="51" t="s">
        <v>96</v>
      </c>
      <c r="C69" s="27">
        <f ca="1">IFERROR(IF(H69="NEW HIRE",100,IF($P$2-H69&lt;=100,$P$2-H69,IF($P$2-H69&gt;=365,0,))), 0)</f>
        <v>0</v>
      </c>
      <c r="D69" t="s">
        <v>8</v>
      </c>
      <c r="E69" t="s">
        <v>3</v>
      </c>
      <c r="F69" t="s">
        <v>4</v>
      </c>
      <c r="G69" s="38">
        <f ca="1">IF(AND(MASTER!K69&lt;&gt;"X",MASTER!K69&lt;&gt;"",MASTER!$K$2&lt;&gt;BUCKET!H69, MASTER!$K$2&lt;=MASTER!$M$2),MASTER!$K$2,IF(AND(MASTER!J69&lt;&gt;"X",MASTER!J69&lt;&gt;"",MASTER!$J$2&lt;&gt;BUCKET!H69, MASTER!$J$2&lt;=MASTER!$M$2),MASTER!$J$2,IF(AND(MASTER!I69&lt;&gt;"X",MASTER!I69&lt;&gt;"",MASTER!$I$2&lt;&gt;BUCKET!H69, MASTER!$I$2&lt;=MASTER!$M$2),MASTER!$I$2, IF(AND(MASTER!H69&lt;&gt;"X", MASTER!H69&lt;&gt;"", MASTER!$H$2&lt;&gt;BUCKET!H69, MASTER!$H$2&lt;=MASTER!$M$2), MASTER!$H$2, IF(AND(MASTER!G69&lt;&gt;"X", MASTER!G69&lt;&gt;"", MASTER!$G$2&lt;&gt;BUCKET!H69, MASTER!$G$2&lt;=MASTER!$M$2), MASTER!$H$2, IF(AND(MASTER!G69&lt;&gt;"X", MASTER!G69&lt;&gt;"", MASTER!$G$2&lt;&gt;BUCKET!H69, MASTER!$F$2&lt;=MASTER!$M$2), MASTER!$G$2, IF(AND(MASTER!F69&lt;&gt;"X", MASTER!F69&lt;&gt;"", MASTER!$F$2&lt;&gt;BUCKET!H69, MASTER!$F$2&lt;=MASTER!$M$2), MASTER!$F$2, IF(AND(MASTER!E69&lt;&gt;"X", MASTER!E69&lt;&gt;"", MASTER!$E$2&lt;&gt;BUCKET!H69, MASTER!$E$2&lt;=MASTER!$M$2), MASTER!$E$2, IF(AND( MASTER!D69&lt;&gt;"", MASTER!D69&lt;&gt;BUCKET!H69), MASTER!D69, IF(AND(MASTER!C69&lt;&gt;"X", MASTER!C69&lt;&gt;""), MASTER!C69))))))))))</f>
        <v>44242</v>
      </c>
      <c r="H69" s="35">
        <f ca="1">IF(AND(MASTER!K70&lt;&gt;"X", MASTER!K70&lt;&gt;"", MASTER!$K$2&lt;=MASTER!$M$2), MASTER!$K$2, IF(AND(MASTER!J70&lt;&gt;"X", MASTER!J70&lt;&gt;"", MASTER!$J$2&lt;=MASTER!$M$2),MASTER!$J$2, IF(AND(MASTER!I70&lt;&gt;"X", MASTER!I70&lt;&gt;"", MASTER!$I$2&lt;=MASTER!$M$2),MASTER!$I$2, IF(AND(MASTER!H70&lt;&gt;"X", MASTER!H70&lt;&gt;"", MASTER!$H$2&lt;=MASTER!$M$2),MASTER!$H$2, IF(AND(MASTER!G70&lt;&gt;"X", MASTER!G70&lt;&gt;"", MASTER!$F$2&lt;=MASTER!$M$2),MASTER!$G$2, IF(AND(MASTER!F70&lt;&gt;"X", MASTER!F70&lt;&gt;"", MASTER!$F$2&lt;=MASTER!$M$2), MASTER!$F$2, IF(AND(MASTER!E70&lt;&gt;"X", MASTER!E70&lt;&gt;"", MASTER!$E$2&lt;=MASTER!$M$2),MASTER!$E$2, IF(MASTER!D70&lt;&gt;"", MASTER!D70,""))))))))</f>
        <v>44243</v>
      </c>
      <c r="I69" s="8" t="s">
        <v>12</v>
      </c>
      <c r="J69" s="27" t="b">
        <f ca="1">IFERROR(IF(H69="NEW HIRE",FALSE,IF(AND((H69-G69)&lt;=1),($P$2-H69)&lt;=1)), "")</f>
        <v>0</v>
      </c>
      <c r="K69" s="54" t="b">
        <v>0</v>
      </c>
      <c r="L69" s="30" t="str">
        <f ca="1">IFERROR(IF(AND(MASTER!$K$1=MASTER!$N$2,MASTER!K69="X"),"",IF(AND(MASTER!$J$1=MASTER!$N$2,MASTER!J69="X"),"",IF(AND(MASTER!$I$1=MASTER!$N$2,MASTER!I69="X"),"",IF(AND(MASTER!$H$1=MASTER!$N$2,MASTER!H69="X"),"",IF(AND(MASTER!$G$1=MASTER!$N$2,MASTER!G69="X"),"",IF(AND(MASTER!$F$1=MASTER!$N$2,MASTER!F69="X"),"",IF(AND(MASTER!$E$1=MASTER!$N$2,MASTER!E69="X"),"",IF(AND($Q$2&lt;&gt;D69,$Q$2&lt;&gt;E69,$Q$2&lt;&gt;F69,I69="6 to 2",J69=FALSE,K69=FALSE),B69,"")))))))), "")</f>
        <v/>
      </c>
      <c r="M69" s="34" t="str">
        <f ca="1">IFERROR(IF(AND(MASTER!$K$1=MASTER!$N$2,MASTER!K69="X"),"",IF(AND(MASTER!$J$1=MASTER!$N$2,MASTER!J69="X"),"",IF(AND(MASTER!$I$1=MASTER!$N$2,MASTER!I69="X"),"",IF(AND(MASTER!$H$1=MASTER!$N$2,MASTER!H69="X"),"",IF(AND(MASTER!$G$1=MASTER!$N$2,MASTER!G69="X"),"",IF(AND(MASTER!$F$1=MASTER!$N$2,MASTER!F69="X"),"",IF(AND(MASTER!$E$1=MASTER!$N$2,MASTER!E69="X"),"",IF(AND($Q$2&lt;&gt;D69,$Q$2&lt;&gt;E69,$Q$2&lt;&gt;F69,I69="2 to 10",J69=FALSE,K69=FALSE),B69,"")))))))), "")</f>
        <v>Drew Thompson</v>
      </c>
      <c r="N69" s="44" t="str">
        <f ca="1">IFERROR(IF(AND(MASTER!$K$1=MASTER!$N$2,MASTER!K69="X"),"",IF(AND(MASTER!$J$1=MASTER!$N$2,MASTER!J69="X"),"",IF(AND(MASTER!$I$1=MASTER!$N$2,MASTER!I69="X"),"",IF(AND(MASTER!$H$1=MASTER!$N$2,MASTER!H69="X"),"",IF(AND(MASTER!$G$1=MASTER!$N$2,MASTER!G69="X"),"",IF(AND(MASTER!$F$1=MASTER!$N$2,MASTER!F69="X"),"",IF(AND(MASTER!$E$1=MASTER!$N$2,MASTER!E69="X"),"",IF(AND($Q$2&lt;&gt;D69,$Q$2&lt;&gt;E69,$Q$2&lt;&gt;F69,I69="10 to 6",J69=FALSE,K69=FALSE),B69,"")))))))), "")</f>
        <v/>
      </c>
    </row>
    <row r="70" spans="1:14" ht="16" thickBot="1" x14ac:dyDescent="0.25">
      <c r="A70">
        <v>69</v>
      </c>
      <c r="B70" s="51" t="s">
        <v>97</v>
      </c>
      <c r="C70" s="27">
        <f ca="1">IFERROR(IF(H70="NEW HIRE",100,IF($P$2-H70&lt;=100,$P$2-H70,IF($P$2-H70&gt;=365,0,))), 0)</f>
        <v>0</v>
      </c>
      <c r="D70" t="s">
        <v>3</v>
      </c>
      <c r="E70" t="s">
        <v>4</v>
      </c>
      <c r="F70" t="s">
        <v>5</v>
      </c>
      <c r="G70" s="38">
        <f ca="1">IF(AND(MASTER!K70&lt;&gt;"X",MASTER!K70&lt;&gt;"",MASTER!$K$2&lt;&gt;BUCKET!H70, MASTER!$K$2&lt;=MASTER!$M$2),MASTER!$K$2,IF(AND(MASTER!J70&lt;&gt;"X",MASTER!J70&lt;&gt;"",MASTER!$J$2&lt;&gt;BUCKET!H70, MASTER!$J$2&lt;=MASTER!$M$2),MASTER!$J$2,IF(AND(MASTER!I70&lt;&gt;"X",MASTER!I70&lt;&gt;"",MASTER!$I$2&lt;&gt;BUCKET!H70, MASTER!$I$2&lt;=MASTER!$M$2),MASTER!$I$2, IF(AND(MASTER!H70&lt;&gt;"X", MASTER!H70&lt;&gt;"", MASTER!$H$2&lt;&gt;BUCKET!H70, MASTER!$H$2&lt;=MASTER!$M$2), MASTER!$H$2, IF(AND(MASTER!G70&lt;&gt;"X", MASTER!G70&lt;&gt;"", MASTER!$G$2&lt;&gt;BUCKET!H70, MASTER!$G$2&lt;=MASTER!$M$2), MASTER!$H$2, IF(AND(MASTER!G70&lt;&gt;"X", MASTER!G70&lt;&gt;"", MASTER!$G$2&lt;&gt;BUCKET!H70, MASTER!$F$2&lt;=MASTER!$M$2), MASTER!$G$2, IF(AND(MASTER!F70&lt;&gt;"X", MASTER!F70&lt;&gt;"", MASTER!$F$2&lt;&gt;BUCKET!H70, MASTER!$F$2&lt;=MASTER!$M$2), MASTER!$F$2, IF(AND(MASTER!E70&lt;&gt;"X", MASTER!E70&lt;&gt;"", MASTER!$E$2&lt;&gt;BUCKET!H70, MASTER!$E$2&lt;=MASTER!$M$2), MASTER!$E$2, IF(AND( MASTER!D70&lt;&gt;"", MASTER!D70&lt;&gt;BUCKET!H70), MASTER!D70, IF(AND(MASTER!C70&lt;&gt;"X", MASTER!C70&lt;&gt;""), MASTER!C70))))))))))</f>
        <v>44243</v>
      </c>
      <c r="H70" s="35">
        <f ca="1">IF(AND(MASTER!K71&lt;&gt;"X", MASTER!K71&lt;&gt;"", MASTER!$K$2&lt;=MASTER!$M$2), MASTER!$K$2, IF(AND(MASTER!J71&lt;&gt;"X", MASTER!J71&lt;&gt;"", MASTER!$J$2&lt;=MASTER!$M$2),MASTER!$J$2, IF(AND(MASTER!I71&lt;&gt;"X", MASTER!I71&lt;&gt;"", MASTER!$I$2&lt;=MASTER!$M$2),MASTER!$I$2, IF(AND(MASTER!H71&lt;&gt;"X", MASTER!H71&lt;&gt;"", MASTER!$H$2&lt;=MASTER!$M$2),MASTER!$H$2, IF(AND(MASTER!G71&lt;&gt;"X", MASTER!G71&lt;&gt;"", MASTER!$F$2&lt;=MASTER!$M$2),MASTER!$G$2, IF(AND(MASTER!F71&lt;&gt;"X", MASTER!F71&lt;&gt;"", MASTER!$F$2&lt;=MASTER!$M$2), MASTER!$F$2, IF(AND(MASTER!E71&lt;&gt;"X", MASTER!E71&lt;&gt;"", MASTER!$E$2&lt;=MASTER!$M$2),MASTER!$E$2, IF(MASTER!D71&lt;&gt;"", MASTER!D71,""))))))))</f>
        <v>44244</v>
      </c>
      <c r="I70" s="8" t="s">
        <v>12</v>
      </c>
      <c r="J70" s="27" t="b">
        <f ca="1">IFERROR(IF(H70="NEW HIRE",FALSE,IF(AND((H70-G70)&lt;=1),($P$2-H70)&lt;=1)), "")</f>
        <v>0</v>
      </c>
      <c r="K70" s="54" t="b">
        <v>0</v>
      </c>
      <c r="L70" s="30" t="str">
        <f ca="1">IFERROR(IF(AND(MASTER!$K$1=MASTER!$N$2,MASTER!K70="X"),"",IF(AND(MASTER!$J$1=MASTER!$N$2,MASTER!J70="X"),"",IF(AND(MASTER!$I$1=MASTER!$N$2,MASTER!I70="X"),"",IF(AND(MASTER!$H$1=MASTER!$N$2,MASTER!H70="X"),"",IF(AND(MASTER!$G$1=MASTER!$N$2,MASTER!G70="X"),"",IF(AND(MASTER!$F$1=MASTER!$N$2,MASTER!F70="X"),"",IF(AND(MASTER!$E$1=MASTER!$N$2,MASTER!E70="X"),"",IF(AND($Q$2&lt;&gt;D70,$Q$2&lt;&gt;E70,$Q$2&lt;&gt;F70,I70="6 to 2",J70=FALSE,K70=FALSE),B70,"")))))))), "")</f>
        <v/>
      </c>
      <c r="M70" s="34" t="str">
        <f ca="1">IFERROR(IF(AND(MASTER!$K$1=MASTER!$N$2,MASTER!K70="X"),"",IF(AND(MASTER!$J$1=MASTER!$N$2,MASTER!J70="X"),"",IF(AND(MASTER!$I$1=MASTER!$N$2,MASTER!I70="X"),"",IF(AND(MASTER!$H$1=MASTER!$N$2,MASTER!H70="X"),"",IF(AND(MASTER!$G$1=MASTER!$N$2,MASTER!G70="X"),"",IF(AND(MASTER!$F$1=MASTER!$N$2,MASTER!F70="X"),"",IF(AND(MASTER!$E$1=MASTER!$N$2,MASTER!E70="X"),"",IF(AND($Q$2&lt;&gt;D70,$Q$2&lt;&gt;E70,$Q$2&lt;&gt;F70,I70="2 to 10",J70=FALSE,K70=FALSE),B70,"")))))))), "")</f>
        <v>Sam Brown</v>
      </c>
      <c r="N70" s="44" t="str">
        <f ca="1">IFERROR(IF(AND(MASTER!$K$1=MASTER!$N$2,MASTER!K70="X"),"",IF(AND(MASTER!$J$1=MASTER!$N$2,MASTER!J70="X"),"",IF(AND(MASTER!$I$1=MASTER!$N$2,MASTER!I70="X"),"",IF(AND(MASTER!$H$1=MASTER!$N$2,MASTER!H70="X"),"",IF(AND(MASTER!$G$1=MASTER!$N$2,MASTER!G70="X"),"",IF(AND(MASTER!$F$1=MASTER!$N$2,MASTER!F70="X"),"",IF(AND(MASTER!$E$1=MASTER!$N$2,MASTER!E70="X"),"",IF(AND($Q$2&lt;&gt;D70,$Q$2&lt;&gt;E70,$Q$2&lt;&gt;F70,I70="10 to 6",J70=FALSE,K70=FALSE),B70,"")))))))), "")</f>
        <v/>
      </c>
    </row>
    <row r="71" spans="1:14" x14ac:dyDescent="0.2">
      <c r="A71">
        <v>70</v>
      </c>
      <c r="B71" s="51" t="s">
        <v>98</v>
      </c>
      <c r="C71" s="27">
        <f ca="1">IFERROR(IF(H71="NEW HIRE",100,IF($P$2-H71&lt;=100,$P$2-H71,IF($P$2-H71&gt;=365,0,))), 0)</f>
        <v>0</v>
      </c>
      <c r="D71" t="s">
        <v>3</v>
      </c>
      <c r="E71" t="s">
        <v>4</v>
      </c>
      <c r="F71" t="s">
        <v>5</v>
      </c>
      <c r="G71" s="38">
        <f ca="1">IF(AND(MASTER!K71&lt;&gt;"X",MASTER!K71&lt;&gt;"",MASTER!$K$2&lt;&gt;BUCKET!H71, MASTER!$K$2&lt;=MASTER!$M$2),MASTER!$K$2,IF(AND(MASTER!J71&lt;&gt;"X",MASTER!J71&lt;&gt;"",MASTER!$J$2&lt;&gt;BUCKET!H71, MASTER!$J$2&lt;=MASTER!$M$2),MASTER!$J$2,IF(AND(MASTER!I71&lt;&gt;"X",MASTER!I71&lt;&gt;"",MASTER!$I$2&lt;&gt;BUCKET!H71, MASTER!$I$2&lt;=MASTER!$M$2),MASTER!$I$2, IF(AND(MASTER!H71&lt;&gt;"X", MASTER!H71&lt;&gt;"", MASTER!$H$2&lt;&gt;BUCKET!H71, MASTER!$H$2&lt;=MASTER!$M$2), MASTER!$H$2, IF(AND(MASTER!G71&lt;&gt;"X", MASTER!G71&lt;&gt;"", MASTER!$G$2&lt;&gt;BUCKET!H71, MASTER!$G$2&lt;=MASTER!$M$2), MASTER!$H$2, IF(AND(MASTER!G71&lt;&gt;"X", MASTER!G71&lt;&gt;"", MASTER!$G$2&lt;&gt;BUCKET!H71, MASTER!$F$2&lt;=MASTER!$M$2), MASTER!$G$2, IF(AND(MASTER!F71&lt;&gt;"X", MASTER!F71&lt;&gt;"", MASTER!$F$2&lt;&gt;BUCKET!H71, MASTER!$F$2&lt;=MASTER!$M$2), MASTER!$F$2, IF(AND(MASTER!E71&lt;&gt;"X", MASTER!E71&lt;&gt;"", MASTER!$E$2&lt;&gt;BUCKET!H71, MASTER!$E$2&lt;=MASTER!$M$2), MASTER!$E$2, IF(AND( MASTER!D71&lt;&gt;"", MASTER!D71&lt;&gt;BUCKET!H71), MASTER!D71, IF(AND(MASTER!C71&lt;&gt;"X", MASTER!C71&lt;&gt;""), MASTER!C71))))))))))</f>
        <v>44244</v>
      </c>
      <c r="H71" s="35">
        <f ca="1">IF(AND(MASTER!K72&lt;&gt;"X", MASTER!K72&lt;&gt;"", MASTER!$K$2&lt;=MASTER!$M$2), MASTER!$K$2, IF(AND(MASTER!J72&lt;&gt;"X", MASTER!J72&lt;&gt;"", MASTER!$J$2&lt;=MASTER!$M$2),MASTER!$J$2, IF(AND(MASTER!I72&lt;&gt;"X", MASTER!I72&lt;&gt;"", MASTER!$I$2&lt;=MASTER!$M$2),MASTER!$I$2, IF(AND(MASTER!H72&lt;&gt;"X", MASTER!H72&lt;&gt;"", MASTER!$H$2&lt;=MASTER!$M$2),MASTER!$H$2, IF(AND(MASTER!G72&lt;&gt;"X", MASTER!G72&lt;&gt;"", MASTER!$F$2&lt;=MASTER!$M$2),MASTER!$G$2, IF(AND(MASTER!F72&lt;&gt;"X", MASTER!F72&lt;&gt;"", MASTER!$F$2&lt;=MASTER!$M$2), MASTER!$F$2, IF(AND(MASTER!E72&lt;&gt;"X", MASTER!E72&lt;&gt;"", MASTER!$E$2&lt;=MASTER!$M$2),MASTER!$E$2, IF(MASTER!D72&lt;&gt;"", MASTER!D72,""))))))))</f>
        <v>44245</v>
      </c>
      <c r="I71" t="s">
        <v>12</v>
      </c>
      <c r="J71" s="27" t="b">
        <f ca="1">IFERROR(IF(H71="NEW HIRE",FALSE,IF(AND((H71-G71)&lt;=1),($P$2-H71)&lt;=1)), "")</f>
        <v>0</v>
      </c>
      <c r="K71" s="54" t="s">
        <v>19</v>
      </c>
      <c r="L71" s="30" t="str">
        <f ca="1">IFERROR(IF(AND(MASTER!$K$1=MASTER!$N$2,MASTER!K71="X"),"",IF(AND(MASTER!$J$1=MASTER!$N$2,MASTER!J71="X"),"",IF(AND(MASTER!$I$1=MASTER!$N$2,MASTER!I71="X"),"",IF(AND(MASTER!$H$1=MASTER!$N$2,MASTER!H71="X"),"",IF(AND(MASTER!$G$1=MASTER!$N$2,MASTER!G71="X"),"",IF(AND(MASTER!$F$1=MASTER!$N$2,MASTER!F71="X"),"",IF(AND(MASTER!$E$1=MASTER!$N$2,MASTER!E71="X"),"",IF(AND($Q$2&lt;&gt;D71,$Q$2&lt;&gt;E71,$Q$2&lt;&gt;F71,I71="6 to 2",J71=FALSE,K71=FALSE),B71,"")))))))), "")</f>
        <v/>
      </c>
      <c r="M71" s="34" t="str">
        <f ca="1">IFERROR(IF(AND(MASTER!$K$1=MASTER!$N$2,MASTER!K71="X"),"",IF(AND(MASTER!$J$1=MASTER!$N$2,MASTER!J71="X"),"",IF(AND(MASTER!$I$1=MASTER!$N$2,MASTER!I71="X"),"",IF(AND(MASTER!$H$1=MASTER!$N$2,MASTER!H71="X"),"",IF(AND(MASTER!$G$1=MASTER!$N$2,MASTER!G71="X"),"",IF(AND(MASTER!$F$1=MASTER!$N$2,MASTER!F71="X"),"",IF(AND(MASTER!$E$1=MASTER!$N$2,MASTER!E71="X"),"",IF(AND($Q$2&lt;&gt;D71,$Q$2&lt;&gt;E71,$Q$2&lt;&gt;F71,I71="2 to 10",J71=FALSE,K71=FALSE),B71,"")))))))), "")</f>
        <v/>
      </c>
      <c r="N71" s="44" t="str">
        <f ca="1">IFERROR(IF(AND(MASTER!$K$1=MASTER!$N$2,MASTER!K71="X"),"",IF(AND(MASTER!$J$1=MASTER!$N$2,MASTER!J71="X"),"",IF(AND(MASTER!$I$1=MASTER!$N$2,MASTER!I71="X"),"",IF(AND(MASTER!$H$1=MASTER!$N$2,MASTER!H71="X"),"",IF(AND(MASTER!$G$1=MASTER!$N$2,MASTER!G71="X"),"",IF(AND(MASTER!$F$1=MASTER!$N$2,MASTER!F71="X"),"",IF(AND(MASTER!$E$1=MASTER!$N$2,MASTER!E71="X"),"",IF(AND($Q$2&lt;&gt;D71,$Q$2&lt;&gt;E71,$Q$2&lt;&gt;F71,I71="10 to 6",J71=FALSE,K71=FALSE),B71,"")))))))), "")</f>
        <v/>
      </c>
    </row>
    <row r="72" spans="1:14" x14ac:dyDescent="0.2">
      <c r="C72"/>
      <c r="G72"/>
      <c r="J72"/>
      <c r="L72" s="30" t="str">
        <f ca="1">IFERROR(IF(AND(MASTER!$K$1=MASTER!$N$2,MASTER!K72="X"),"",IF(AND(MASTER!$J$1=MASTER!$N$2,MASTER!J72="X"),"",IF(AND(MASTER!$I$1=MASTER!$N$2,MASTER!I72="X"),"",IF(AND(MASTER!$H$1=MASTER!$N$2,MASTER!H72="X"),"",IF(AND(MASTER!$G$1=MASTER!$N$2,MASTER!G72="X"),"",IF(AND(MASTER!$F$1=MASTER!$N$2,MASTER!F72="X"),"",IF(AND(MASTER!$E$1=MASTER!$N$2,MASTER!E72="X"),"",IF(AND($Q$2&lt;&gt;D72,$Q$2&lt;&gt;E72,$Q$2&lt;&gt;F72,I72="6 to 2",J72=FALSE,K72=FALSE),B72,"")))))))), "")</f>
        <v/>
      </c>
      <c r="M72" s="34" t="str">
        <f ca="1">IFERROR(IF(AND(MASTER!$K$1=MASTER!$N$2,MASTER!K72="X"),"",IF(AND(MASTER!$J$1=MASTER!$N$2,MASTER!J72="X"),"",IF(AND(MASTER!$I$1=MASTER!$N$2,MASTER!I72="X"),"",IF(AND(MASTER!$H$1=MASTER!$N$2,MASTER!H72="X"),"",IF(AND(MASTER!$G$1=MASTER!$N$2,MASTER!G72="X"),"",IF(AND(MASTER!$F$1=MASTER!$N$2,MASTER!F72="X"),"",IF(AND(MASTER!$E$1=MASTER!$N$2,MASTER!E72="X"),"",IF(AND($Q$2&lt;&gt;D72,$Q$2&lt;&gt;E72,$Q$2&lt;&gt;F72,I72="2 to 10",J72=FALSE,K72=FALSE),B72,"")))))))), "")</f>
        <v/>
      </c>
      <c r="N72" s="44" t="str">
        <f ca="1">IFERROR(IF(AND(MASTER!$K$1=MASTER!$N$2,MASTER!K72="X"),"",IF(AND(MASTER!$J$1=MASTER!$N$2,MASTER!J72="X"),"",IF(AND(MASTER!$I$1=MASTER!$N$2,MASTER!I72="X"),"",IF(AND(MASTER!$H$1=MASTER!$N$2,MASTER!H72="X"),"",IF(AND(MASTER!$G$1=MASTER!$N$2,MASTER!G72="X"),"",IF(AND(MASTER!$F$1=MASTER!$N$2,MASTER!F72="X"),"",IF(AND(MASTER!$E$1=MASTER!$N$2,MASTER!E72="X"),"",IF(AND($Q$2&lt;&gt;D72,$Q$2&lt;&gt;E72,$Q$2&lt;&gt;F72,I72="10 to 6",J72=FALSE,K72=FALSE),B72,"")))))))), "")</f>
        <v/>
      </c>
    </row>
    <row r="73" spans="1:14" x14ac:dyDescent="0.2">
      <c r="C73"/>
      <c r="G73"/>
      <c r="J73"/>
      <c r="L73" s="30" t="str">
        <f ca="1">IFERROR(IF(AND(MASTER!$K$1=MASTER!$N$2,MASTER!K73="X"),"",IF(AND(MASTER!$J$1=MASTER!$N$2,MASTER!J73="X"),"",IF(AND(MASTER!$I$1=MASTER!$N$2,MASTER!I73="X"),"",IF(AND(MASTER!$H$1=MASTER!$N$2,MASTER!H73="X"),"",IF(AND(MASTER!$G$1=MASTER!$N$2,MASTER!G73="X"),"",IF(AND(MASTER!$F$1=MASTER!$N$2,MASTER!F73="X"),"",IF(AND(MASTER!$E$1=MASTER!$N$2,MASTER!E73="X"),"",IF(AND($Q$2&lt;&gt;D73,$Q$2&lt;&gt;E73,$Q$2&lt;&gt;F73,I73="6 to 2",J73=FALSE,K73=FALSE),B73,"")))))))), "")</f>
        <v/>
      </c>
      <c r="M73" s="34" t="str">
        <f ca="1">IFERROR(IF(AND(MASTER!$K$1=MASTER!$N$2,MASTER!K73="X"),"",IF(AND(MASTER!$J$1=MASTER!$N$2,MASTER!J73="X"),"",IF(AND(MASTER!$I$1=MASTER!$N$2,MASTER!I73="X"),"",IF(AND(MASTER!$H$1=MASTER!$N$2,MASTER!H73="X"),"",IF(AND(MASTER!$G$1=MASTER!$N$2,MASTER!G73="X"),"",IF(AND(MASTER!$F$1=MASTER!$N$2,MASTER!F73="X"),"",IF(AND(MASTER!$E$1=MASTER!$N$2,MASTER!E73="X"),"",IF(AND($Q$2&lt;&gt;D73,$Q$2&lt;&gt;E73,$Q$2&lt;&gt;F73,I73="2 to 10",J73=FALSE,K73=FALSE),B73,"")))))))), "")</f>
        <v/>
      </c>
      <c r="N73" s="44" t="str">
        <f ca="1">IFERROR(IF(AND(MASTER!$K$1=MASTER!$N$2,MASTER!K73="X"),"",IF(AND(MASTER!$J$1=MASTER!$N$2,MASTER!J73="X"),"",IF(AND(MASTER!$I$1=MASTER!$N$2,MASTER!I73="X"),"",IF(AND(MASTER!$H$1=MASTER!$N$2,MASTER!H73="X"),"",IF(AND(MASTER!$G$1=MASTER!$N$2,MASTER!G73="X"),"",IF(AND(MASTER!$F$1=MASTER!$N$2,MASTER!F73="X"),"",IF(AND(MASTER!$E$1=MASTER!$N$2,MASTER!E73="X"),"",IF(AND($Q$2&lt;&gt;D73,$Q$2&lt;&gt;E73,$Q$2&lt;&gt;F73,I73="10 to 6",J73=FALSE,K73=FALSE),B73,"")))))))), "")</f>
        <v/>
      </c>
    </row>
    <row r="74" spans="1:14" x14ac:dyDescent="0.2">
      <c r="C74"/>
      <c r="G74"/>
      <c r="J74"/>
      <c r="L74" s="30" t="str">
        <f ca="1">IFERROR(IF(AND(MASTER!$K$1=MASTER!$N$2,MASTER!K74="X"),"",IF(AND(MASTER!$J$1=MASTER!$N$2,MASTER!J74="X"),"",IF(AND(MASTER!$I$1=MASTER!$N$2,MASTER!I74="X"),"",IF(AND(MASTER!$H$1=MASTER!$N$2,MASTER!H74="X"),"",IF(AND(MASTER!$G$1=MASTER!$N$2,MASTER!G74="X"),"",IF(AND(MASTER!$F$1=MASTER!$N$2,MASTER!F74="X"),"",IF(AND(MASTER!$E$1=MASTER!$N$2,MASTER!E74="X"),"",IF(AND($Q$2&lt;&gt;D74,$Q$2&lt;&gt;E74,$Q$2&lt;&gt;F74,I74="6 to 2",J74=FALSE,K74=FALSE),B74,"")))))))), "")</f>
        <v/>
      </c>
      <c r="M74" s="34" t="str">
        <f ca="1">IFERROR(IF(AND(MASTER!$K$1=MASTER!$N$2,MASTER!K74="X"),"",IF(AND(MASTER!$J$1=MASTER!$N$2,MASTER!J74="X"),"",IF(AND(MASTER!$I$1=MASTER!$N$2,MASTER!I74="X"),"",IF(AND(MASTER!$H$1=MASTER!$N$2,MASTER!H74="X"),"",IF(AND(MASTER!$G$1=MASTER!$N$2,MASTER!G74="X"),"",IF(AND(MASTER!$F$1=MASTER!$N$2,MASTER!F74="X"),"",IF(AND(MASTER!$E$1=MASTER!$N$2,MASTER!E74="X"),"",IF(AND($Q$2&lt;&gt;D74,$Q$2&lt;&gt;E74,$Q$2&lt;&gt;F74,I74="2 to 10",J74=FALSE,K74=FALSE),B74,"")))))))), "")</f>
        <v/>
      </c>
      <c r="N74" s="44" t="str">
        <f ca="1">IFERROR(IF(AND(MASTER!$K$1=MASTER!$N$2,MASTER!K74="X"),"",IF(AND(MASTER!$J$1=MASTER!$N$2,MASTER!J74="X"),"",IF(AND(MASTER!$I$1=MASTER!$N$2,MASTER!I74="X"),"",IF(AND(MASTER!$H$1=MASTER!$N$2,MASTER!H74="X"),"",IF(AND(MASTER!$G$1=MASTER!$N$2,MASTER!G74="X"),"",IF(AND(MASTER!$F$1=MASTER!$N$2,MASTER!F74="X"),"",IF(AND(MASTER!$E$1=MASTER!$N$2,MASTER!E74="X"),"",IF(AND($Q$2&lt;&gt;D74,$Q$2&lt;&gt;E74,$Q$2&lt;&gt;F74,I74="10 to 6",J74=FALSE,K74=FALSE),B74,"")))))))), "")</f>
        <v/>
      </c>
    </row>
    <row r="75" spans="1:14" x14ac:dyDescent="0.2">
      <c r="C75"/>
      <c r="G75"/>
      <c r="J75"/>
      <c r="L75" s="30" t="str">
        <f ca="1">IFERROR(IF(AND(MASTER!$K$1=MASTER!$N$2,MASTER!K75="X"),"",IF(AND(MASTER!$J$1=MASTER!$N$2,MASTER!J75="X"),"",IF(AND(MASTER!$I$1=MASTER!$N$2,MASTER!I75="X"),"",IF(AND(MASTER!$H$1=MASTER!$N$2,MASTER!H75="X"),"",IF(AND(MASTER!$G$1=MASTER!$N$2,MASTER!G75="X"),"",IF(AND(MASTER!$F$1=MASTER!$N$2,MASTER!F75="X"),"",IF(AND(MASTER!$E$1=MASTER!$N$2,MASTER!E75="X"),"",IF(AND($Q$2&lt;&gt;D75,$Q$2&lt;&gt;E75,$Q$2&lt;&gt;F75,I75="6 to 2",J75=FALSE,K75=FALSE),B75,"")))))))), "")</f>
        <v/>
      </c>
      <c r="M75" s="34" t="str">
        <f ca="1">IFERROR(IF(AND(MASTER!$K$1=MASTER!$N$2,MASTER!K75="X"),"",IF(AND(MASTER!$J$1=MASTER!$N$2,MASTER!J75="X"),"",IF(AND(MASTER!$I$1=MASTER!$N$2,MASTER!I75="X"),"",IF(AND(MASTER!$H$1=MASTER!$N$2,MASTER!H75="X"),"",IF(AND(MASTER!$G$1=MASTER!$N$2,MASTER!G75="X"),"",IF(AND(MASTER!$F$1=MASTER!$N$2,MASTER!F75="X"),"",IF(AND(MASTER!$E$1=MASTER!$N$2,MASTER!E75="X"),"",IF(AND($Q$2&lt;&gt;D75,$Q$2&lt;&gt;E75,$Q$2&lt;&gt;F75,I75="2 to 10",J75=FALSE,K75=FALSE),B75,"")))))))), "")</f>
        <v/>
      </c>
      <c r="N75" s="44" t="str">
        <f ca="1">IFERROR(IF(AND(MASTER!$K$1=MASTER!$N$2,MASTER!K75="X"),"",IF(AND(MASTER!$J$1=MASTER!$N$2,MASTER!J75="X"),"",IF(AND(MASTER!$I$1=MASTER!$N$2,MASTER!I75="X"),"",IF(AND(MASTER!$H$1=MASTER!$N$2,MASTER!H75="X"),"",IF(AND(MASTER!$G$1=MASTER!$N$2,MASTER!G75="X"),"",IF(AND(MASTER!$F$1=MASTER!$N$2,MASTER!F75="X"),"",IF(AND(MASTER!$E$1=MASTER!$N$2,MASTER!E75="X"),"",IF(AND($Q$2&lt;&gt;D75,$Q$2&lt;&gt;E75,$Q$2&lt;&gt;F75,I75="10 to 6",J75=FALSE,K75=FALSE),B75,"")))))))), "")</f>
        <v/>
      </c>
    </row>
    <row r="76" spans="1:14" x14ac:dyDescent="0.2">
      <c r="C76"/>
      <c r="G76"/>
      <c r="J76"/>
      <c r="L76" s="30" t="str">
        <f ca="1">IFERROR(IF(AND(MASTER!$K$1=MASTER!$N$2,MASTER!K76="X"),"",IF(AND(MASTER!$J$1=MASTER!$N$2,MASTER!J76="X"),"",IF(AND(MASTER!$I$1=MASTER!$N$2,MASTER!I76="X"),"",IF(AND(MASTER!$H$1=MASTER!$N$2,MASTER!H76="X"),"",IF(AND(MASTER!$G$1=MASTER!$N$2,MASTER!G76="X"),"",IF(AND(MASTER!$F$1=MASTER!$N$2,MASTER!F76="X"),"",IF(AND(MASTER!$E$1=MASTER!$N$2,MASTER!E76="X"),"",IF(AND($Q$2&lt;&gt;D76,$Q$2&lt;&gt;E76,$Q$2&lt;&gt;F76,I76="6 to 2",J76=FALSE,K76=FALSE),B76,"")))))))), "")</f>
        <v/>
      </c>
      <c r="M76" s="34" t="str">
        <f ca="1">IFERROR(IF(AND(MASTER!$K$1=MASTER!$N$2,MASTER!K76="X"),"",IF(AND(MASTER!$J$1=MASTER!$N$2,MASTER!J76="X"),"",IF(AND(MASTER!$I$1=MASTER!$N$2,MASTER!I76="X"),"",IF(AND(MASTER!$H$1=MASTER!$N$2,MASTER!H76="X"),"",IF(AND(MASTER!$G$1=MASTER!$N$2,MASTER!G76="X"),"",IF(AND(MASTER!$F$1=MASTER!$N$2,MASTER!F76="X"),"",IF(AND(MASTER!$E$1=MASTER!$N$2,MASTER!E76="X"),"",IF(AND($Q$2&lt;&gt;D76,$Q$2&lt;&gt;E76,$Q$2&lt;&gt;F76,I76="2 to 10",J76=FALSE,K76=FALSE),B76,"")))))))), "")</f>
        <v/>
      </c>
      <c r="N76" s="44" t="str">
        <f ca="1">IFERROR(IF(AND(MASTER!$K$1=MASTER!$N$2,MASTER!K76="X"),"",IF(AND(MASTER!$J$1=MASTER!$N$2,MASTER!J76="X"),"",IF(AND(MASTER!$I$1=MASTER!$N$2,MASTER!I76="X"),"",IF(AND(MASTER!$H$1=MASTER!$N$2,MASTER!H76="X"),"",IF(AND(MASTER!$G$1=MASTER!$N$2,MASTER!G76="X"),"",IF(AND(MASTER!$F$1=MASTER!$N$2,MASTER!F76="X"),"",IF(AND(MASTER!$E$1=MASTER!$N$2,MASTER!E76="X"),"",IF(AND($Q$2&lt;&gt;D76,$Q$2&lt;&gt;E76,$Q$2&lt;&gt;F76,I76="10 to 6",J76=FALSE,K76=FALSE),B76,"")))))))), "")</f>
        <v/>
      </c>
    </row>
    <row r="77" spans="1:14" x14ac:dyDescent="0.2">
      <c r="C77"/>
      <c r="G77"/>
      <c r="J77"/>
      <c r="L77" s="30" t="str">
        <f ca="1">IFERROR(IF(AND(MASTER!$K$1=MASTER!$N$2,MASTER!K77="X"),"",IF(AND(MASTER!$J$1=MASTER!$N$2,MASTER!J77="X"),"",IF(AND(MASTER!$I$1=MASTER!$N$2,MASTER!I77="X"),"",IF(AND(MASTER!$H$1=MASTER!$N$2,MASTER!H77="X"),"",IF(AND(MASTER!$G$1=MASTER!$N$2,MASTER!G77="X"),"",IF(AND(MASTER!$F$1=MASTER!$N$2,MASTER!F77="X"),"",IF(AND(MASTER!$E$1=MASTER!$N$2,MASTER!E77="X"),"",IF(AND($Q$2&lt;&gt;D77,$Q$2&lt;&gt;E77,$Q$2&lt;&gt;F77,I77="6 to 2",J77=FALSE,K77=FALSE),B77,"")))))))), "")</f>
        <v/>
      </c>
      <c r="M77" s="34" t="str">
        <f ca="1">IFERROR(IF(AND(MASTER!$K$1=MASTER!$N$2,MASTER!K77="X"),"",IF(AND(MASTER!$J$1=MASTER!$N$2,MASTER!J77="X"),"",IF(AND(MASTER!$I$1=MASTER!$N$2,MASTER!I77="X"),"",IF(AND(MASTER!$H$1=MASTER!$N$2,MASTER!H77="X"),"",IF(AND(MASTER!$G$1=MASTER!$N$2,MASTER!G77="X"),"",IF(AND(MASTER!$F$1=MASTER!$N$2,MASTER!F77="X"),"",IF(AND(MASTER!$E$1=MASTER!$N$2,MASTER!E77="X"),"",IF(AND($Q$2&lt;&gt;D77,$Q$2&lt;&gt;E77,$Q$2&lt;&gt;F77,I77="2 to 10",J77=FALSE,K77=FALSE),B77,"")))))))), "")</f>
        <v/>
      </c>
      <c r="N77" s="44" t="str">
        <f ca="1">IFERROR(IF(AND(MASTER!$K$1=MASTER!$N$2,MASTER!K77="X"),"",IF(AND(MASTER!$J$1=MASTER!$N$2,MASTER!J77="X"),"",IF(AND(MASTER!$I$1=MASTER!$N$2,MASTER!I77="X"),"",IF(AND(MASTER!$H$1=MASTER!$N$2,MASTER!H77="X"),"",IF(AND(MASTER!$G$1=MASTER!$N$2,MASTER!G77="X"),"",IF(AND(MASTER!$F$1=MASTER!$N$2,MASTER!F77="X"),"",IF(AND(MASTER!$E$1=MASTER!$N$2,MASTER!E77="X"),"",IF(AND($Q$2&lt;&gt;D77,$Q$2&lt;&gt;E77,$Q$2&lt;&gt;F77,I77="10 to 6",J77=FALSE,K77=FALSE),B77,"")))))))), "")</f>
        <v/>
      </c>
    </row>
    <row r="78" spans="1:14" x14ac:dyDescent="0.2">
      <c r="C78"/>
      <c r="G78"/>
      <c r="J78"/>
      <c r="L78" s="30" t="str">
        <f ca="1">IFERROR(IF(AND(MASTER!$K$1=MASTER!$N$2,MASTER!K78="X"),"",IF(AND(MASTER!$J$1=MASTER!$N$2,MASTER!J78="X"),"",IF(AND(MASTER!$I$1=MASTER!$N$2,MASTER!I78="X"),"",IF(AND(MASTER!$H$1=MASTER!$N$2,MASTER!H78="X"),"",IF(AND(MASTER!$G$1=MASTER!$N$2,MASTER!G78="X"),"",IF(AND(MASTER!$F$1=MASTER!$N$2,MASTER!F78="X"),"",IF(AND(MASTER!$E$1=MASTER!$N$2,MASTER!E78="X"),"",IF(AND($Q$2&lt;&gt;D78,$Q$2&lt;&gt;E78,$Q$2&lt;&gt;F78,I78="6 to 2",J78=FALSE,K78=FALSE),B78,"")))))))), "")</f>
        <v/>
      </c>
      <c r="M78" s="34" t="str">
        <f ca="1">IFERROR(IF(AND(MASTER!$K$1=MASTER!$N$2,MASTER!K78="X"),"",IF(AND(MASTER!$J$1=MASTER!$N$2,MASTER!J78="X"),"",IF(AND(MASTER!$I$1=MASTER!$N$2,MASTER!I78="X"),"",IF(AND(MASTER!$H$1=MASTER!$N$2,MASTER!H78="X"),"",IF(AND(MASTER!$G$1=MASTER!$N$2,MASTER!G78="X"),"",IF(AND(MASTER!$F$1=MASTER!$N$2,MASTER!F78="X"),"",IF(AND(MASTER!$E$1=MASTER!$N$2,MASTER!E78="X"),"",IF(AND($Q$2&lt;&gt;D78,$Q$2&lt;&gt;E78,$Q$2&lt;&gt;F78,I78="2 to 10",J78=FALSE,K78=FALSE),B78,"")))))))), "")</f>
        <v/>
      </c>
      <c r="N78" s="44" t="str">
        <f ca="1">IFERROR(IF(AND(MASTER!$K$1=MASTER!$N$2,MASTER!K78="X"),"",IF(AND(MASTER!$J$1=MASTER!$N$2,MASTER!J78="X"),"",IF(AND(MASTER!$I$1=MASTER!$N$2,MASTER!I78="X"),"",IF(AND(MASTER!$H$1=MASTER!$N$2,MASTER!H78="X"),"",IF(AND(MASTER!$G$1=MASTER!$N$2,MASTER!G78="X"),"",IF(AND(MASTER!$F$1=MASTER!$N$2,MASTER!F78="X"),"",IF(AND(MASTER!$E$1=MASTER!$N$2,MASTER!E78="X"),"",IF(AND($Q$2&lt;&gt;D78,$Q$2&lt;&gt;E78,$Q$2&lt;&gt;F78,I78="10 to 6",J78=FALSE,K78=FALSE),B78,"")))))))), "")</f>
        <v/>
      </c>
    </row>
    <row r="79" spans="1:14" x14ac:dyDescent="0.2">
      <c r="C79"/>
      <c r="G79"/>
      <c r="J79"/>
      <c r="L79" s="30" t="str">
        <f ca="1">IFERROR(IF(AND(MASTER!$K$1=MASTER!$N$2,MASTER!K79="X"),"",IF(AND(MASTER!$J$1=MASTER!$N$2,MASTER!J79="X"),"",IF(AND(MASTER!$I$1=MASTER!$N$2,MASTER!I79="X"),"",IF(AND(MASTER!$H$1=MASTER!$N$2,MASTER!H79="X"),"",IF(AND(MASTER!$G$1=MASTER!$N$2,MASTER!G79="X"),"",IF(AND(MASTER!$F$1=MASTER!$N$2,MASTER!F79="X"),"",IF(AND(MASTER!$E$1=MASTER!$N$2,MASTER!E79="X"),"",IF(AND($Q$2&lt;&gt;D79,$Q$2&lt;&gt;E79,$Q$2&lt;&gt;F79,I79="6 to 2",J79=FALSE,K79=FALSE),B79,"")))))))), "")</f>
        <v/>
      </c>
      <c r="M79" s="34" t="str">
        <f ca="1">IFERROR(IF(AND(MASTER!$K$1=MASTER!$N$2,MASTER!K79="X"),"",IF(AND(MASTER!$J$1=MASTER!$N$2,MASTER!J79="X"),"",IF(AND(MASTER!$I$1=MASTER!$N$2,MASTER!I79="X"),"",IF(AND(MASTER!$H$1=MASTER!$N$2,MASTER!H79="X"),"",IF(AND(MASTER!$G$1=MASTER!$N$2,MASTER!G79="X"),"",IF(AND(MASTER!$F$1=MASTER!$N$2,MASTER!F79="X"),"",IF(AND(MASTER!$E$1=MASTER!$N$2,MASTER!E79="X"),"",IF(AND($Q$2&lt;&gt;D79,$Q$2&lt;&gt;E79,$Q$2&lt;&gt;F79,I79="2 to 10",J79=FALSE,K79=FALSE),B79,"")))))))), "")</f>
        <v/>
      </c>
      <c r="N79" s="44" t="str">
        <f ca="1">IFERROR(IF(AND(MASTER!$K$1=MASTER!$N$2,MASTER!K79="X"),"",IF(AND(MASTER!$J$1=MASTER!$N$2,MASTER!J79="X"),"",IF(AND(MASTER!$I$1=MASTER!$N$2,MASTER!I79="X"),"",IF(AND(MASTER!$H$1=MASTER!$N$2,MASTER!H79="X"),"",IF(AND(MASTER!$G$1=MASTER!$N$2,MASTER!G79="X"),"",IF(AND(MASTER!$F$1=MASTER!$N$2,MASTER!F79="X"),"",IF(AND(MASTER!$E$1=MASTER!$N$2,MASTER!E79="X"),"",IF(AND($Q$2&lt;&gt;D79,$Q$2&lt;&gt;E79,$Q$2&lt;&gt;F79,I79="10 to 6",J79=FALSE,K79=FALSE),B79,"")))))))), "")</f>
        <v/>
      </c>
    </row>
    <row r="80" spans="1:14" x14ac:dyDescent="0.2">
      <c r="C80"/>
      <c r="G80"/>
      <c r="J80"/>
      <c r="L80" s="30" t="str">
        <f ca="1">IFERROR(IF(AND(MASTER!$K$1=MASTER!$N$2,MASTER!K80="X"),"",IF(AND(MASTER!$J$1=MASTER!$N$2,MASTER!J80="X"),"",IF(AND(MASTER!$I$1=MASTER!$N$2,MASTER!I80="X"),"",IF(AND(MASTER!$H$1=MASTER!$N$2,MASTER!H80="X"),"",IF(AND(MASTER!$G$1=MASTER!$N$2,MASTER!G80="X"),"",IF(AND(MASTER!$F$1=MASTER!$N$2,MASTER!F80="X"),"",IF(AND(MASTER!$E$1=MASTER!$N$2,MASTER!E80="X"),"",IF(AND($Q$2&lt;&gt;D80,$Q$2&lt;&gt;E80,$Q$2&lt;&gt;F80,I80="6 to 2",J80=FALSE,K80=FALSE),B80,"")))))))), "")</f>
        <v/>
      </c>
      <c r="M80" s="34" t="str">
        <f ca="1">IFERROR(IF(AND(MASTER!$K$1=MASTER!$N$2,MASTER!K80="X"),"",IF(AND(MASTER!$J$1=MASTER!$N$2,MASTER!J80="X"),"",IF(AND(MASTER!$I$1=MASTER!$N$2,MASTER!I80="X"),"",IF(AND(MASTER!$H$1=MASTER!$N$2,MASTER!H80="X"),"",IF(AND(MASTER!$G$1=MASTER!$N$2,MASTER!G80="X"),"",IF(AND(MASTER!$F$1=MASTER!$N$2,MASTER!F80="X"),"",IF(AND(MASTER!$E$1=MASTER!$N$2,MASTER!E80="X"),"",IF(AND($Q$2&lt;&gt;D80,$Q$2&lt;&gt;E80,$Q$2&lt;&gt;F80,I80="2 to 10",J80=FALSE,K80=FALSE),B80,"")))))))), "")</f>
        <v/>
      </c>
      <c r="N80" s="44" t="str">
        <f ca="1">IFERROR(IF(AND(MASTER!$K$1=MASTER!$N$2,MASTER!K80="X"),"",IF(AND(MASTER!$J$1=MASTER!$N$2,MASTER!J80="X"),"",IF(AND(MASTER!$I$1=MASTER!$N$2,MASTER!I80="X"),"",IF(AND(MASTER!$H$1=MASTER!$N$2,MASTER!H80="X"),"",IF(AND(MASTER!$G$1=MASTER!$N$2,MASTER!G80="X"),"",IF(AND(MASTER!$F$1=MASTER!$N$2,MASTER!F80="X"),"",IF(AND(MASTER!$E$1=MASTER!$N$2,MASTER!E80="X"),"",IF(AND($Q$2&lt;&gt;D80,$Q$2&lt;&gt;E80,$Q$2&lt;&gt;F80,I80="10 to 6",J80=FALSE,K80=FALSE),B80,"")))))))), "")</f>
        <v/>
      </c>
    </row>
    <row r="81" spans="3:14" x14ac:dyDescent="0.2">
      <c r="C81"/>
      <c r="G81"/>
      <c r="J81"/>
      <c r="L81" s="30" t="str">
        <f ca="1">IFERROR(IF(AND(MASTER!$K$1=MASTER!$N$2,MASTER!K81="X"),"",IF(AND(MASTER!$J$1=MASTER!$N$2,MASTER!J81="X"),"",IF(AND(MASTER!$I$1=MASTER!$N$2,MASTER!I81="X"),"",IF(AND(MASTER!$H$1=MASTER!$N$2,MASTER!H81="X"),"",IF(AND(MASTER!$G$1=MASTER!$N$2,MASTER!G81="X"),"",IF(AND(MASTER!$F$1=MASTER!$N$2,MASTER!F81="X"),"",IF(AND(MASTER!$E$1=MASTER!$N$2,MASTER!E81="X"),"",IF(AND($Q$2&lt;&gt;D81,$Q$2&lt;&gt;E81,$Q$2&lt;&gt;F81,I81="6 to 2",J81=FALSE,K81=FALSE),B81,"")))))))), "")</f>
        <v/>
      </c>
      <c r="M81" s="34" t="str">
        <f ca="1">IFERROR(IF(AND(MASTER!$K$1=MASTER!$N$2,MASTER!K81="X"),"",IF(AND(MASTER!$J$1=MASTER!$N$2,MASTER!J81="X"),"",IF(AND(MASTER!$I$1=MASTER!$N$2,MASTER!I81="X"),"",IF(AND(MASTER!$H$1=MASTER!$N$2,MASTER!H81="X"),"",IF(AND(MASTER!$G$1=MASTER!$N$2,MASTER!G81="X"),"",IF(AND(MASTER!$F$1=MASTER!$N$2,MASTER!F81="X"),"",IF(AND(MASTER!$E$1=MASTER!$N$2,MASTER!E81="X"),"",IF(AND($Q$2&lt;&gt;D81,$Q$2&lt;&gt;E81,$Q$2&lt;&gt;F81,I81="2 to 10",J81=FALSE,K81=FALSE),B81,"")))))))), "")</f>
        <v/>
      </c>
      <c r="N81" s="44" t="str">
        <f ca="1">IFERROR(IF(AND(MASTER!$K$1=MASTER!$N$2,MASTER!K81="X"),"",IF(AND(MASTER!$J$1=MASTER!$N$2,MASTER!J81="X"),"",IF(AND(MASTER!$I$1=MASTER!$N$2,MASTER!I81="X"),"",IF(AND(MASTER!$H$1=MASTER!$N$2,MASTER!H81="X"),"",IF(AND(MASTER!$G$1=MASTER!$N$2,MASTER!G81="X"),"",IF(AND(MASTER!$F$1=MASTER!$N$2,MASTER!F81="X"),"",IF(AND(MASTER!$E$1=MASTER!$N$2,MASTER!E81="X"),"",IF(AND($Q$2&lt;&gt;D81,$Q$2&lt;&gt;E81,$Q$2&lt;&gt;F81,I81="10 to 6",J81=FALSE,K81=FALSE),B81,"")))))))), "")</f>
        <v/>
      </c>
    </row>
    <row r="82" spans="3:14" x14ac:dyDescent="0.2">
      <c r="C82"/>
      <c r="G82"/>
      <c r="J82"/>
      <c r="L82" s="30" t="str">
        <f ca="1">IFERROR(IF(AND(MASTER!$K$1=MASTER!$N$2,MASTER!K82="X"),"",IF(AND(MASTER!$J$1=MASTER!$N$2,MASTER!J82="X"),"",IF(AND(MASTER!$I$1=MASTER!$N$2,MASTER!I82="X"),"",IF(AND(MASTER!$H$1=MASTER!$N$2,MASTER!H82="X"),"",IF(AND(MASTER!$G$1=MASTER!$N$2,MASTER!G82="X"),"",IF(AND(MASTER!$F$1=MASTER!$N$2,MASTER!F82="X"),"",IF(AND(MASTER!$E$1=MASTER!$N$2,MASTER!E82="X"),"",IF(AND($Q$2&lt;&gt;D82,$Q$2&lt;&gt;E82,$Q$2&lt;&gt;F82,I82="6 to 2",J82=FALSE,K82=FALSE),B82,"")))))))), "")</f>
        <v/>
      </c>
      <c r="M82" s="34" t="str">
        <f ca="1">IFERROR(IF(AND(MASTER!$K$1=MASTER!$N$2,MASTER!K82="X"),"",IF(AND(MASTER!$J$1=MASTER!$N$2,MASTER!J82="X"),"",IF(AND(MASTER!$I$1=MASTER!$N$2,MASTER!I82="X"),"",IF(AND(MASTER!$H$1=MASTER!$N$2,MASTER!H82="X"),"",IF(AND(MASTER!$G$1=MASTER!$N$2,MASTER!G82="X"),"",IF(AND(MASTER!$F$1=MASTER!$N$2,MASTER!F82="X"),"",IF(AND(MASTER!$E$1=MASTER!$N$2,MASTER!E82="X"),"",IF(AND($Q$2&lt;&gt;D82,$Q$2&lt;&gt;E82,$Q$2&lt;&gt;F82,I82="2 to 10",J82=FALSE,K82=FALSE),B82,"")))))))), "")</f>
        <v/>
      </c>
      <c r="N82" s="44" t="str">
        <f ca="1">IFERROR(IF(AND(MASTER!$K$1=MASTER!$N$2,MASTER!K82="X"),"",IF(AND(MASTER!$J$1=MASTER!$N$2,MASTER!J82="X"),"",IF(AND(MASTER!$I$1=MASTER!$N$2,MASTER!I82="X"),"",IF(AND(MASTER!$H$1=MASTER!$N$2,MASTER!H82="X"),"",IF(AND(MASTER!$G$1=MASTER!$N$2,MASTER!G82="X"),"",IF(AND(MASTER!$F$1=MASTER!$N$2,MASTER!F82="X"),"",IF(AND(MASTER!$E$1=MASTER!$N$2,MASTER!E82="X"),"",IF(AND($Q$2&lt;&gt;D82,$Q$2&lt;&gt;E82,$Q$2&lt;&gt;F82,I82="10 to 6",J82=FALSE,K82=FALSE),B82,"")))))))), "")</f>
        <v/>
      </c>
    </row>
    <row r="83" spans="3:14" x14ac:dyDescent="0.2">
      <c r="C83"/>
      <c r="G83"/>
      <c r="J83"/>
      <c r="L83" s="30" t="str">
        <f ca="1">IFERROR(IF(AND(MASTER!$K$1=MASTER!$N$2,MASTER!K83="X"),"",IF(AND(MASTER!$J$1=MASTER!$N$2,MASTER!J83="X"),"",IF(AND(MASTER!$I$1=MASTER!$N$2,MASTER!I83="X"),"",IF(AND(MASTER!$H$1=MASTER!$N$2,MASTER!H83="X"),"",IF(AND(MASTER!$G$1=MASTER!$N$2,MASTER!G83="X"),"",IF(AND(MASTER!$F$1=MASTER!$N$2,MASTER!F83="X"),"",IF(AND(MASTER!$E$1=MASTER!$N$2,MASTER!E83="X"),"",IF(AND($Q$2&lt;&gt;D83,$Q$2&lt;&gt;E83,$Q$2&lt;&gt;F83,I83="6 to 2",J83=FALSE,K83=FALSE),B83,"")))))))), "")</f>
        <v/>
      </c>
      <c r="M83" s="34" t="str">
        <f ca="1">IFERROR(IF(AND(MASTER!$K$1=MASTER!$N$2,MASTER!K83="X"),"",IF(AND(MASTER!$J$1=MASTER!$N$2,MASTER!J83="X"),"",IF(AND(MASTER!$I$1=MASTER!$N$2,MASTER!I83="X"),"",IF(AND(MASTER!$H$1=MASTER!$N$2,MASTER!H83="X"),"",IF(AND(MASTER!$G$1=MASTER!$N$2,MASTER!G83="X"),"",IF(AND(MASTER!$F$1=MASTER!$N$2,MASTER!F83="X"),"",IF(AND(MASTER!$E$1=MASTER!$N$2,MASTER!E83="X"),"",IF(AND($Q$2&lt;&gt;D83,$Q$2&lt;&gt;E83,$Q$2&lt;&gt;F83,I83="2 to 10",J83=FALSE,K83=FALSE),B83,"")))))))), "")</f>
        <v/>
      </c>
      <c r="N83" s="44" t="str">
        <f ca="1">IFERROR(IF(AND(MASTER!$K$1=MASTER!$N$2,MASTER!K83="X"),"",IF(AND(MASTER!$J$1=MASTER!$N$2,MASTER!J83="X"),"",IF(AND(MASTER!$I$1=MASTER!$N$2,MASTER!I83="X"),"",IF(AND(MASTER!$H$1=MASTER!$N$2,MASTER!H83="X"),"",IF(AND(MASTER!$G$1=MASTER!$N$2,MASTER!G83="X"),"",IF(AND(MASTER!$F$1=MASTER!$N$2,MASTER!F83="X"),"",IF(AND(MASTER!$E$1=MASTER!$N$2,MASTER!E83="X"),"",IF(AND($Q$2&lt;&gt;D83,$Q$2&lt;&gt;E83,$Q$2&lt;&gt;F83,I83="10 to 6",J83=FALSE,K83=FALSE),B83,"")))))))), "")</f>
        <v/>
      </c>
    </row>
    <row r="84" spans="3:14" x14ac:dyDescent="0.2">
      <c r="C84"/>
      <c r="G84"/>
      <c r="J84"/>
      <c r="L84" s="30" t="str">
        <f ca="1">IFERROR(IF(AND(MASTER!$K$1=MASTER!$N$2,MASTER!K84="X"),"",IF(AND(MASTER!$J$1=MASTER!$N$2,MASTER!J84="X"),"",IF(AND(MASTER!$I$1=MASTER!$N$2,MASTER!I84="X"),"",IF(AND(MASTER!$H$1=MASTER!$N$2,MASTER!H84="X"),"",IF(AND(MASTER!$G$1=MASTER!$N$2,MASTER!G84="X"),"",IF(AND(MASTER!$F$1=MASTER!$N$2,MASTER!F84="X"),"",IF(AND(MASTER!$E$1=MASTER!$N$2,MASTER!E84="X"),"",IF(AND($Q$2&lt;&gt;D84,$Q$2&lt;&gt;E84,$Q$2&lt;&gt;F84,I84="6 to 2",J84=FALSE,K84=FALSE),B84,"")))))))), "")</f>
        <v/>
      </c>
      <c r="M84" s="34" t="str">
        <f ca="1">IFERROR(IF(AND(MASTER!$K$1=MASTER!$N$2,MASTER!K84="X"),"",IF(AND(MASTER!$J$1=MASTER!$N$2,MASTER!J84="X"),"",IF(AND(MASTER!$I$1=MASTER!$N$2,MASTER!I84="X"),"",IF(AND(MASTER!$H$1=MASTER!$N$2,MASTER!H84="X"),"",IF(AND(MASTER!$G$1=MASTER!$N$2,MASTER!G84="X"),"",IF(AND(MASTER!$F$1=MASTER!$N$2,MASTER!F84="X"),"",IF(AND(MASTER!$E$1=MASTER!$N$2,MASTER!E84="X"),"",IF(AND($Q$2&lt;&gt;D84,$Q$2&lt;&gt;E84,$Q$2&lt;&gt;F84,I84="2 to 10",J84=FALSE,K84=FALSE),B84,"")))))))), "")</f>
        <v/>
      </c>
      <c r="N84" s="44" t="str">
        <f ca="1">IFERROR(IF(AND(MASTER!$K$1=MASTER!$N$2,MASTER!K84="X"),"",IF(AND(MASTER!$J$1=MASTER!$N$2,MASTER!J84="X"),"",IF(AND(MASTER!$I$1=MASTER!$N$2,MASTER!I84="X"),"",IF(AND(MASTER!$H$1=MASTER!$N$2,MASTER!H84="X"),"",IF(AND(MASTER!$G$1=MASTER!$N$2,MASTER!G84="X"),"",IF(AND(MASTER!$F$1=MASTER!$N$2,MASTER!F84="X"),"",IF(AND(MASTER!$E$1=MASTER!$N$2,MASTER!E84="X"),"",IF(AND($Q$2&lt;&gt;D84,$Q$2&lt;&gt;E84,$Q$2&lt;&gt;F84,I84="10 to 6",J84=FALSE,K84=FALSE),B84,"")))))))), "")</f>
        <v/>
      </c>
    </row>
    <row r="85" spans="3:14" x14ac:dyDescent="0.2">
      <c r="C85"/>
      <c r="G85"/>
      <c r="J85"/>
      <c r="L85" s="30" t="str">
        <f ca="1">IFERROR(IF(AND(MASTER!$K$1=MASTER!$N$2,MASTER!K85="X"),"",IF(AND(MASTER!$J$1=MASTER!$N$2,MASTER!J85="X"),"",IF(AND(MASTER!$I$1=MASTER!$N$2,MASTER!I85="X"),"",IF(AND(MASTER!$H$1=MASTER!$N$2,MASTER!H85="X"),"",IF(AND(MASTER!$G$1=MASTER!$N$2,MASTER!G85="X"),"",IF(AND(MASTER!$F$1=MASTER!$N$2,MASTER!F85="X"),"",IF(AND(MASTER!$E$1=MASTER!$N$2,MASTER!E85="X"),"",IF(AND($Q$2&lt;&gt;D85,$Q$2&lt;&gt;E85,$Q$2&lt;&gt;F85,I85="6 to 2",J85=FALSE,K85=FALSE),B85,"")))))))), "")</f>
        <v/>
      </c>
      <c r="M85" s="34" t="str">
        <f ca="1">IFERROR(IF(AND(MASTER!$K$1=MASTER!$N$2,MASTER!K85="X"),"",IF(AND(MASTER!$J$1=MASTER!$N$2,MASTER!J85="X"),"",IF(AND(MASTER!$I$1=MASTER!$N$2,MASTER!I85="X"),"",IF(AND(MASTER!$H$1=MASTER!$N$2,MASTER!H85="X"),"",IF(AND(MASTER!$G$1=MASTER!$N$2,MASTER!G85="X"),"",IF(AND(MASTER!$F$1=MASTER!$N$2,MASTER!F85="X"),"",IF(AND(MASTER!$E$1=MASTER!$N$2,MASTER!E85="X"),"",IF(AND($Q$2&lt;&gt;D85,$Q$2&lt;&gt;E85,$Q$2&lt;&gt;F85,I85="2 to 10",J85=FALSE,K85=FALSE),B85,"")))))))), "")</f>
        <v/>
      </c>
      <c r="N85" s="44" t="str">
        <f ca="1">IFERROR(IF(AND(MASTER!$K$1=MASTER!$N$2,MASTER!K85="X"),"",IF(AND(MASTER!$J$1=MASTER!$N$2,MASTER!J85="X"),"",IF(AND(MASTER!$I$1=MASTER!$N$2,MASTER!I85="X"),"",IF(AND(MASTER!$H$1=MASTER!$N$2,MASTER!H85="X"),"",IF(AND(MASTER!$G$1=MASTER!$N$2,MASTER!G85="X"),"",IF(AND(MASTER!$F$1=MASTER!$N$2,MASTER!F85="X"),"",IF(AND(MASTER!$E$1=MASTER!$N$2,MASTER!E85="X"),"",IF(AND($Q$2&lt;&gt;D85,$Q$2&lt;&gt;E85,$Q$2&lt;&gt;F85,I85="10 to 6",J85=FALSE,K85=FALSE),B85,"")))))))), "")</f>
        <v/>
      </c>
    </row>
    <row r="86" spans="3:14" x14ac:dyDescent="0.2">
      <c r="C86"/>
      <c r="G86"/>
      <c r="J86"/>
      <c r="L86" s="30" t="str">
        <f ca="1">IFERROR(IF(AND(MASTER!$K$1=MASTER!$N$2,MASTER!K86="X"),"",IF(AND(MASTER!$J$1=MASTER!$N$2,MASTER!J86="X"),"",IF(AND(MASTER!$I$1=MASTER!$N$2,MASTER!I86="X"),"",IF(AND(MASTER!$H$1=MASTER!$N$2,MASTER!H86="X"),"",IF(AND(MASTER!$G$1=MASTER!$N$2,MASTER!G86="X"),"",IF(AND(MASTER!$F$1=MASTER!$N$2,MASTER!F86="X"),"",IF(AND(MASTER!$E$1=MASTER!$N$2,MASTER!E86="X"),"",IF(AND($Q$2&lt;&gt;D86,$Q$2&lt;&gt;E86,$Q$2&lt;&gt;F86,I86="6 to 2",J86=FALSE,K86=FALSE),B86,"")))))))), "")</f>
        <v/>
      </c>
      <c r="M86" s="34" t="str">
        <f ca="1">IFERROR(IF(AND(MASTER!$K$1=MASTER!$N$2,MASTER!K86="X"),"",IF(AND(MASTER!$J$1=MASTER!$N$2,MASTER!J86="X"),"",IF(AND(MASTER!$I$1=MASTER!$N$2,MASTER!I86="X"),"",IF(AND(MASTER!$H$1=MASTER!$N$2,MASTER!H86="X"),"",IF(AND(MASTER!$G$1=MASTER!$N$2,MASTER!G86="X"),"",IF(AND(MASTER!$F$1=MASTER!$N$2,MASTER!F86="X"),"",IF(AND(MASTER!$E$1=MASTER!$N$2,MASTER!E86="X"),"",IF(AND($Q$2&lt;&gt;D86,$Q$2&lt;&gt;E86,$Q$2&lt;&gt;F86,I86="2 to 10",J86=FALSE,K86=FALSE),B86,"")))))))), "")</f>
        <v/>
      </c>
      <c r="N86" s="44" t="str">
        <f ca="1">IFERROR(IF(AND(MASTER!$K$1=MASTER!$N$2,MASTER!K86="X"),"",IF(AND(MASTER!$J$1=MASTER!$N$2,MASTER!J86="X"),"",IF(AND(MASTER!$I$1=MASTER!$N$2,MASTER!I86="X"),"",IF(AND(MASTER!$H$1=MASTER!$N$2,MASTER!H86="X"),"",IF(AND(MASTER!$G$1=MASTER!$N$2,MASTER!G86="X"),"",IF(AND(MASTER!$F$1=MASTER!$N$2,MASTER!F86="X"),"",IF(AND(MASTER!$E$1=MASTER!$N$2,MASTER!E86="X"),"",IF(AND($Q$2&lt;&gt;D86,$Q$2&lt;&gt;E86,$Q$2&lt;&gt;F86,I86="10 to 6",J86=FALSE,K86=FALSE),B86,"")))))))), "")</f>
        <v/>
      </c>
    </row>
    <row r="87" spans="3:14" x14ac:dyDescent="0.2">
      <c r="C87"/>
      <c r="G87"/>
      <c r="J87"/>
      <c r="L87" s="30" t="str">
        <f ca="1">IFERROR(IF(AND(MASTER!$K$1=MASTER!$N$2,MASTER!K87="X"),"",IF(AND(MASTER!$J$1=MASTER!$N$2,MASTER!J87="X"),"",IF(AND(MASTER!$I$1=MASTER!$N$2,MASTER!I87="X"),"",IF(AND(MASTER!$H$1=MASTER!$N$2,MASTER!H87="X"),"",IF(AND(MASTER!$G$1=MASTER!$N$2,MASTER!G87="X"),"",IF(AND(MASTER!$F$1=MASTER!$N$2,MASTER!F87="X"),"",IF(AND(MASTER!$E$1=MASTER!$N$2,MASTER!E87="X"),"",IF(AND($Q$2&lt;&gt;D87,$Q$2&lt;&gt;E87,$Q$2&lt;&gt;F87,I87="6 to 2",J87=FALSE,K87=FALSE),B87,"")))))))), "")</f>
        <v/>
      </c>
      <c r="M87" s="34" t="str">
        <f ca="1">IFERROR(IF(AND(MASTER!$K$1=MASTER!$N$2,MASTER!K87="X"),"",IF(AND(MASTER!$J$1=MASTER!$N$2,MASTER!J87="X"),"",IF(AND(MASTER!$I$1=MASTER!$N$2,MASTER!I87="X"),"",IF(AND(MASTER!$H$1=MASTER!$N$2,MASTER!H87="X"),"",IF(AND(MASTER!$G$1=MASTER!$N$2,MASTER!G87="X"),"",IF(AND(MASTER!$F$1=MASTER!$N$2,MASTER!F87="X"),"",IF(AND(MASTER!$E$1=MASTER!$N$2,MASTER!E87="X"),"",IF(AND($Q$2&lt;&gt;D87,$Q$2&lt;&gt;E87,$Q$2&lt;&gt;F87,I87="2 to 10",J87=FALSE,K87=FALSE),B87,"")))))))), "")</f>
        <v/>
      </c>
      <c r="N87" s="44" t="str">
        <f ca="1">IFERROR(IF(AND(MASTER!$K$1=MASTER!$N$2,MASTER!K87="X"),"",IF(AND(MASTER!$J$1=MASTER!$N$2,MASTER!J87="X"),"",IF(AND(MASTER!$I$1=MASTER!$N$2,MASTER!I87="X"),"",IF(AND(MASTER!$H$1=MASTER!$N$2,MASTER!H87="X"),"",IF(AND(MASTER!$G$1=MASTER!$N$2,MASTER!G87="X"),"",IF(AND(MASTER!$F$1=MASTER!$N$2,MASTER!F87="X"),"",IF(AND(MASTER!$E$1=MASTER!$N$2,MASTER!E87="X"),"",IF(AND($Q$2&lt;&gt;D87,$Q$2&lt;&gt;E87,$Q$2&lt;&gt;F87,I87="10 to 6",J87=FALSE,K87=FALSE),B87,"")))))))), "")</f>
        <v/>
      </c>
    </row>
    <row r="88" spans="3:14" x14ac:dyDescent="0.2">
      <c r="C88"/>
      <c r="G88"/>
      <c r="J88"/>
      <c r="L88" s="30" t="str">
        <f ca="1">IFERROR(IF(AND(MASTER!$K$1=MASTER!$N$2,MASTER!K88="X"),"",IF(AND(MASTER!$J$1=MASTER!$N$2,MASTER!J88="X"),"",IF(AND(MASTER!$I$1=MASTER!$N$2,MASTER!I88="X"),"",IF(AND(MASTER!$H$1=MASTER!$N$2,MASTER!H88="X"),"",IF(AND(MASTER!$G$1=MASTER!$N$2,MASTER!G88="X"),"",IF(AND(MASTER!$F$1=MASTER!$N$2,MASTER!F88="X"),"",IF(AND(MASTER!$E$1=MASTER!$N$2,MASTER!E88="X"),"",IF(AND($Q$2&lt;&gt;D88,$Q$2&lt;&gt;E88,$Q$2&lt;&gt;F88,I88="6 to 2",J88=FALSE,K88=FALSE),B88,"")))))))), "")</f>
        <v/>
      </c>
      <c r="M88" s="34" t="str">
        <f ca="1">IFERROR(IF(AND(MASTER!$K$1=MASTER!$N$2,MASTER!K88="X"),"",IF(AND(MASTER!$J$1=MASTER!$N$2,MASTER!J88="X"),"",IF(AND(MASTER!$I$1=MASTER!$N$2,MASTER!I88="X"),"",IF(AND(MASTER!$H$1=MASTER!$N$2,MASTER!H88="X"),"",IF(AND(MASTER!$G$1=MASTER!$N$2,MASTER!G88="X"),"",IF(AND(MASTER!$F$1=MASTER!$N$2,MASTER!F88="X"),"",IF(AND(MASTER!$E$1=MASTER!$N$2,MASTER!E88="X"),"",IF(AND($Q$2&lt;&gt;D88,$Q$2&lt;&gt;E88,$Q$2&lt;&gt;F88,I88="2 to 10",J88=FALSE,K88=FALSE),B88,"")))))))), "")</f>
        <v/>
      </c>
      <c r="N88" s="44" t="str">
        <f ca="1">IFERROR(IF(AND(MASTER!$K$1=MASTER!$N$2,MASTER!K88="X"),"",IF(AND(MASTER!$J$1=MASTER!$N$2,MASTER!J88="X"),"",IF(AND(MASTER!$I$1=MASTER!$N$2,MASTER!I88="X"),"",IF(AND(MASTER!$H$1=MASTER!$N$2,MASTER!H88="X"),"",IF(AND(MASTER!$G$1=MASTER!$N$2,MASTER!G88="X"),"",IF(AND(MASTER!$F$1=MASTER!$N$2,MASTER!F88="X"),"",IF(AND(MASTER!$E$1=MASTER!$N$2,MASTER!E88="X"),"",IF(AND($Q$2&lt;&gt;D88,$Q$2&lt;&gt;E88,$Q$2&lt;&gt;F88,I88="10 to 6",J88=FALSE,K88=FALSE),B88,"")))))))), "")</f>
        <v/>
      </c>
    </row>
    <row r="89" spans="3:14" x14ac:dyDescent="0.2">
      <c r="C89"/>
      <c r="G89"/>
      <c r="J89"/>
      <c r="L89" s="30" t="str">
        <f ca="1">IFERROR(IF(AND(MASTER!$K$1=MASTER!$N$2,MASTER!K89="X"),"",IF(AND(MASTER!$J$1=MASTER!$N$2,MASTER!J89="X"),"",IF(AND(MASTER!$I$1=MASTER!$N$2,MASTER!I89="X"),"",IF(AND(MASTER!$H$1=MASTER!$N$2,MASTER!H89="X"),"",IF(AND(MASTER!$G$1=MASTER!$N$2,MASTER!G89="X"),"",IF(AND(MASTER!$F$1=MASTER!$N$2,MASTER!F89="X"),"",IF(AND(MASTER!$E$1=MASTER!$N$2,MASTER!E89="X"),"",IF(AND($Q$2&lt;&gt;D89,$Q$2&lt;&gt;E89,$Q$2&lt;&gt;F89,I89="6 to 2",J89=FALSE,K89=FALSE),B89,"")))))))), "")</f>
        <v/>
      </c>
      <c r="M89" s="34" t="str">
        <f ca="1">IFERROR(IF(AND(MASTER!$K$1=MASTER!$N$2,MASTER!K89="X"),"",IF(AND(MASTER!$J$1=MASTER!$N$2,MASTER!J89="X"),"",IF(AND(MASTER!$I$1=MASTER!$N$2,MASTER!I89="X"),"",IF(AND(MASTER!$H$1=MASTER!$N$2,MASTER!H89="X"),"",IF(AND(MASTER!$G$1=MASTER!$N$2,MASTER!G89="X"),"",IF(AND(MASTER!$F$1=MASTER!$N$2,MASTER!F89="X"),"",IF(AND(MASTER!$E$1=MASTER!$N$2,MASTER!E89="X"),"",IF(AND($Q$2&lt;&gt;D89,$Q$2&lt;&gt;E89,$Q$2&lt;&gt;F89,I89="2 to 10",J89=FALSE,K89=FALSE),B89,"")))))))), "")</f>
        <v/>
      </c>
      <c r="N89" s="44" t="str">
        <f ca="1">IFERROR(IF(AND(MASTER!$K$1=MASTER!$N$2,MASTER!K89="X"),"",IF(AND(MASTER!$J$1=MASTER!$N$2,MASTER!J89="X"),"",IF(AND(MASTER!$I$1=MASTER!$N$2,MASTER!I89="X"),"",IF(AND(MASTER!$H$1=MASTER!$N$2,MASTER!H89="X"),"",IF(AND(MASTER!$G$1=MASTER!$N$2,MASTER!G89="X"),"",IF(AND(MASTER!$F$1=MASTER!$N$2,MASTER!F89="X"),"",IF(AND(MASTER!$E$1=MASTER!$N$2,MASTER!E89="X"),"",IF(AND($Q$2&lt;&gt;D89,$Q$2&lt;&gt;E89,$Q$2&lt;&gt;F89,I89="10 to 6",J89=FALSE,K89=FALSE),B89,"")))))))), "")</f>
        <v/>
      </c>
    </row>
    <row r="90" spans="3:14" x14ac:dyDescent="0.2">
      <c r="C90"/>
      <c r="G90"/>
      <c r="J90"/>
      <c r="L90" s="30" t="str">
        <f ca="1">IFERROR(IF(AND(MASTER!$K$1=MASTER!$N$2,MASTER!K90="X"),"",IF(AND(MASTER!$J$1=MASTER!$N$2,MASTER!J90="X"),"",IF(AND(MASTER!$I$1=MASTER!$N$2,MASTER!I90="X"),"",IF(AND(MASTER!$H$1=MASTER!$N$2,MASTER!H90="X"),"",IF(AND(MASTER!$G$1=MASTER!$N$2,MASTER!G90="X"),"",IF(AND(MASTER!$F$1=MASTER!$N$2,MASTER!F90="X"),"",IF(AND(MASTER!$E$1=MASTER!$N$2,MASTER!E90="X"),"",IF(AND($Q$2&lt;&gt;D90,$Q$2&lt;&gt;E90,$Q$2&lt;&gt;F90,I90="6 to 2",J90=FALSE,K90=FALSE),B90,"")))))))), "")</f>
        <v/>
      </c>
      <c r="M90" s="34" t="str">
        <f ca="1">IFERROR(IF(AND(MASTER!$K$1=MASTER!$N$2,MASTER!K90="X"),"",IF(AND(MASTER!$J$1=MASTER!$N$2,MASTER!J90="X"),"",IF(AND(MASTER!$I$1=MASTER!$N$2,MASTER!I90="X"),"",IF(AND(MASTER!$H$1=MASTER!$N$2,MASTER!H90="X"),"",IF(AND(MASTER!$G$1=MASTER!$N$2,MASTER!G90="X"),"",IF(AND(MASTER!$F$1=MASTER!$N$2,MASTER!F90="X"),"",IF(AND(MASTER!$E$1=MASTER!$N$2,MASTER!E90="X"),"",IF(AND($Q$2&lt;&gt;D90,$Q$2&lt;&gt;E90,$Q$2&lt;&gt;F90,I90="2 to 10",J90=FALSE,K90=FALSE),B90,"")))))))), "")</f>
        <v/>
      </c>
      <c r="N90" s="44" t="str">
        <f ca="1">IFERROR(IF(AND(MASTER!$K$1=MASTER!$N$2,MASTER!K90="X"),"",IF(AND(MASTER!$J$1=MASTER!$N$2,MASTER!J90="X"),"",IF(AND(MASTER!$I$1=MASTER!$N$2,MASTER!I90="X"),"",IF(AND(MASTER!$H$1=MASTER!$N$2,MASTER!H90="X"),"",IF(AND(MASTER!$G$1=MASTER!$N$2,MASTER!G90="X"),"",IF(AND(MASTER!$F$1=MASTER!$N$2,MASTER!F90="X"),"",IF(AND(MASTER!$E$1=MASTER!$N$2,MASTER!E90="X"),"",IF(AND($Q$2&lt;&gt;D90,$Q$2&lt;&gt;E90,$Q$2&lt;&gt;F90,I90="10 to 6",J90=FALSE,K90=FALSE),B90,"")))))))), "")</f>
        <v/>
      </c>
    </row>
    <row r="91" spans="3:14" x14ac:dyDescent="0.2">
      <c r="C91"/>
      <c r="G91"/>
      <c r="J91"/>
      <c r="L91" s="30" t="str">
        <f ca="1">IFERROR(IF(AND(MASTER!$K$1=MASTER!$N$2,MASTER!K91="X"),"",IF(AND(MASTER!$J$1=MASTER!$N$2,MASTER!J91="X"),"",IF(AND(MASTER!$I$1=MASTER!$N$2,MASTER!I91="X"),"",IF(AND(MASTER!$H$1=MASTER!$N$2,MASTER!H91="X"),"",IF(AND(MASTER!$G$1=MASTER!$N$2,MASTER!G91="X"),"",IF(AND(MASTER!$F$1=MASTER!$N$2,MASTER!F91="X"),"",IF(AND(MASTER!$E$1=MASTER!$N$2,MASTER!E91="X"),"",IF(AND($Q$2&lt;&gt;D91,$Q$2&lt;&gt;E91,$Q$2&lt;&gt;F91,I91="6 to 2",J91=FALSE,K91=FALSE),B91,"")))))))), "")</f>
        <v/>
      </c>
      <c r="M91" s="34" t="str">
        <f ca="1">IFERROR(IF(AND(MASTER!$K$1=MASTER!$N$2,MASTER!K91="X"),"",IF(AND(MASTER!$J$1=MASTER!$N$2,MASTER!J91="X"),"",IF(AND(MASTER!$I$1=MASTER!$N$2,MASTER!I91="X"),"",IF(AND(MASTER!$H$1=MASTER!$N$2,MASTER!H91="X"),"",IF(AND(MASTER!$G$1=MASTER!$N$2,MASTER!G91="X"),"",IF(AND(MASTER!$F$1=MASTER!$N$2,MASTER!F91="X"),"",IF(AND(MASTER!$E$1=MASTER!$N$2,MASTER!E91="X"),"",IF(AND($Q$2&lt;&gt;D91,$Q$2&lt;&gt;E91,$Q$2&lt;&gt;F91,I91="2 to 10",J91=FALSE,K91=FALSE),B91,"")))))))), "")</f>
        <v/>
      </c>
      <c r="N91" s="44" t="str">
        <f ca="1">IFERROR(IF(AND(MASTER!$K$1=MASTER!$N$2,MASTER!K91="X"),"",IF(AND(MASTER!$J$1=MASTER!$N$2,MASTER!J91="X"),"",IF(AND(MASTER!$I$1=MASTER!$N$2,MASTER!I91="X"),"",IF(AND(MASTER!$H$1=MASTER!$N$2,MASTER!H91="X"),"",IF(AND(MASTER!$G$1=MASTER!$N$2,MASTER!G91="X"),"",IF(AND(MASTER!$F$1=MASTER!$N$2,MASTER!F91="X"),"",IF(AND(MASTER!$E$1=MASTER!$N$2,MASTER!E91="X"),"",IF(AND($Q$2&lt;&gt;D91,$Q$2&lt;&gt;E91,$Q$2&lt;&gt;F91,I91="10 to 6",J91=FALSE,K91=FALSE),B91,"")))))))), "")</f>
        <v/>
      </c>
    </row>
    <row r="92" spans="3:14" x14ac:dyDescent="0.2">
      <c r="C92"/>
      <c r="G92"/>
      <c r="J92"/>
      <c r="L92" s="30" t="str">
        <f ca="1">IFERROR(IF(AND(MASTER!$K$1=MASTER!$N$2,MASTER!K92="X"),"",IF(AND(MASTER!$J$1=MASTER!$N$2,MASTER!J92="X"),"",IF(AND(MASTER!$I$1=MASTER!$N$2,MASTER!I92="X"),"",IF(AND(MASTER!$H$1=MASTER!$N$2,MASTER!H92="X"),"",IF(AND(MASTER!$G$1=MASTER!$N$2,MASTER!G92="X"),"",IF(AND(MASTER!$F$1=MASTER!$N$2,MASTER!F92="X"),"",IF(AND(MASTER!$E$1=MASTER!$N$2,MASTER!E92="X"),"",IF(AND($Q$2&lt;&gt;D92,$Q$2&lt;&gt;E92,$Q$2&lt;&gt;F92,I92="6 to 2",J92=FALSE,K92=FALSE),B92,"")))))))), "")</f>
        <v/>
      </c>
      <c r="M92" s="34" t="str">
        <f ca="1">IFERROR(IF(AND(MASTER!$K$1=MASTER!$N$2,MASTER!K92="X"),"",IF(AND(MASTER!$J$1=MASTER!$N$2,MASTER!J92="X"),"",IF(AND(MASTER!$I$1=MASTER!$N$2,MASTER!I92="X"),"",IF(AND(MASTER!$H$1=MASTER!$N$2,MASTER!H92="X"),"",IF(AND(MASTER!$G$1=MASTER!$N$2,MASTER!G92="X"),"",IF(AND(MASTER!$F$1=MASTER!$N$2,MASTER!F92="X"),"",IF(AND(MASTER!$E$1=MASTER!$N$2,MASTER!E92="X"),"",IF(AND($Q$2&lt;&gt;D92,$Q$2&lt;&gt;E92,$Q$2&lt;&gt;F92,I92="2 to 10",J92=FALSE,K92=FALSE),B92,"")))))))), "")</f>
        <v/>
      </c>
      <c r="N92" s="44" t="str">
        <f ca="1">IFERROR(IF(AND(MASTER!$K$1=MASTER!$N$2,MASTER!K92="X"),"",IF(AND(MASTER!$J$1=MASTER!$N$2,MASTER!J92="X"),"",IF(AND(MASTER!$I$1=MASTER!$N$2,MASTER!I92="X"),"",IF(AND(MASTER!$H$1=MASTER!$N$2,MASTER!H92="X"),"",IF(AND(MASTER!$G$1=MASTER!$N$2,MASTER!G92="X"),"",IF(AND(MASTER!$F$1=MASTER!$N$2,MASTER!F92="X"),"",IF(AND(MASTER!$E$1=MASTER!$N$2,MASTER!E92="X"),"",IF(AND($Q$2&lt;&gt;D92,$Q$2&lt;&gt;E92,$Q$2&lt;&gt;F92,I92="10 to 6",J92=FALSE,K92=FALSE),B92,"")))))))), "")</f>
        <v/>
      </c>
    </row>
    <row r="93" spans="3:14" x14ac:dyDescent="0.2">
      <c r="C93"/>
      <c r="G93"/>
      <c r="J93"/>
      <c r="L93" s="30" t="str">
        <f ca="1">IFERROR(IF(AND(MASTER!$K$1=MASTER!$N$2,MASTER!K93="X"),"",IF(AND(MASTER!$J$1=MASTER!$N$2,MASTER!J93="X"),"",IF(AND(MASTER!$I$1=MASTER!$N$2,MASTER!I93="X"),"",IF(AND(MASTER!$H$1=MASTER!$N$2,MASTER!H93="X"),"",IF(AND(MASTER!$G$1=MASTER!$N$2,MASTER!G93="X"),"",IF(AND(MASTER!$F$1=MASTER!$N$2,MASTER!F93="X"),"",IF(AND(MASTER!$E$1=MASTER!$N$2,MASTER!E93="X"),"",IF(AND($Q$2&lt;&gt;D93,$Q$2&lt;&gt;E93,$Q$2&lt;&gt;F93,I93="6 to 2",J93=FALSE,K93=FALSE),B93,"")))))))), "")</f>
        <v/>
      </c>
      <c r="M93" s="34" t="str">
        <f ca="1">IFERROR(IF(AND(MASTER!$K$1=MASTER!$N$2,MASTER!K93="X"),"",IF(AND(MASTER!$J$1=MASTER!$N$2,MASTER!J93="X"),"",IF(AND(MASTER!$I$1=MASTER!$N$2,MASTER!I93="X"),"",IF(AND(MASTER!$H$1=MASTER!$N$2,MASTER!H93="X"),"",IF(AND(MASTER!$G$1=MASTER!$N$2,MASTER!G93="X"),"",IF(AND(MASTER!$F$1=MASTER!$N$2,MASTER!F93="X"),"",IF(AND(MASTER!$E$1=MASTER!$N$2,MASTER!E93="X"),"",IF(AND($Q$2&lt;&gt;D93,$Q$2&lt;&gt;E93,$Q$2&lt;&gt;F93,I93="2 to 10",J93=FALSE,K93=FALSE),B93,"")))))))), "")</f>
        <v/>
      </c>
      <c r="N93" s="44" t="str">
        <f ca="1">IFERROR(IF(AND(MASTER!$K$1=MASTER!$N$2,MASTER!K93="X"),"",IF(AND(MASTER!$J$1=MASTER!$N$2,MASTER!J93="X"),"",IF(AND(MASTER!$I$1=MASTER!$N$2,MASTER!I93="X"),"",IF(AND(MASTER!$H$1=MASTER!$N$2,MASTER!H93="X"),"",IF(AND(MASTER!$G$1=MASTER!$N$2,MASTER!G93="X"),"",IF(AND(MASTER!$F$1=MASTER!$N$2,MASTER!F93="X"),"",IF(AND(MASTER!$E$1=MASTER!$N$2,MASTER!E93="X"),"",IF(AND($Q$2&lt;&gt;D93,$Q$2&lt;&gt;E93,$Q$2&lt;&gt;F93,I93="10 to 6",J93=FALSE,K93=FALSE),B93,"")))))))), "")</f>
        <v/>
      </c>
    </row>
    <row r="94" spans="3:14" x14ac:dyDescent="0.2">
      <c r="C94"/>
      <c r="G94"/>
      <c r="J94"/>
      <c r="L94" s="30" t="str">
        <f ca="1">IFERROR(IF(AND(MASTER!$K$1=MASTER!$N$2,MASTER!K94="X"),"",IF(AND(MASTER!$J$1=MASTER!$N$2,MASTER!J94="X"),"",IF(AND(MASTER!$I$1=MASTER!$N$2,MASTER!I94="X"),"",IF(AND(MASTER!$H$1=MASTER!$N$2,MASTER!H94="X"),"",IF(AND(MASTER!$G$1=MASTER!$N$2,MASTER!G94="X"),"",IF(AND(MASTER!$F$1=MASTER!$N$2,MASTER!F94="X"),"",IF(AND(MASTER!$E$1=MASTER!$N$2,MASTER!E94="X"),"",IF(AND($Q$2&lt;&gt;D94,$Q$2&lt;&gt;E94,$Q$2&lt;&gt;F94,I94="6 to 2",J94=FALSE,K94=FALSE),B94,"")))))))), "")</f>
        <v/>
      </c>
      <c r="M94" s="34" t="str">
        <f ca="1">IFERROR(IF(AND(MASTER!$K$1=MASTER!$N$2,MASTER!K94="X"),"",IF(AND(MASTER!$J$1=MASTER!$N$2,MASTER!J94="X"),"",IF(AND(MASTER!$I$1=MASTER!$N$2,MASTER!I94="X"),"",IF(AND(MASTER!$H$1=MASTER!$N$2,MASTER!H94="X"),"",IF(AND(MASTER!$G$1=MASTER!$N$2,MASTER!G94="X"),"",IF(AND(MASTER!$F$1=MASTER!$N$2,MASTER!F94="X"),"",IF(AND(MASTER!$E$1=MASTER!$N$2,MASTER!E94="X"),"",IF(AND($Q$2&lt;&gt;D94,$Q$2&lt;&gt;E94,$Q$2&lt;&gt;F94,I94="2 to 10",J94=FALSE,K94=FALSE),B94,"")))))))), "")</f>
        <v/>
      </c>
      <c r="N94" s="44" t="str">
        <f ca="1">IFERROR(IF(AND(MASTER!$K$1=MASTER!$N$2,MASTER!K94="X"),"",IF(AND(MASTER!$J$1=MASTER!$N$2,MASTER!J94="X"),"",IF(AND(MASTER!$I$1=MASTER!$N$2,MASTER!I94="X"),"",IF(AND(MASTER!$H$1=MASTER!$N$2,MASTER!H94="X"),"",IF(AND(MASTER!$G$1=MASTER!$N$2,MASTER!G94="X"),"",IF(AND(MASTER!$F$1=MASTER!$N$2,MASTER!F94="X"),"",IF(AND(MASTER!$E$1=MASTER!$N$2,MASTER!E94="X"),"",IF(AND($Q$2&lt;&gt;D94,$Q$2&lt;&gt;E94,$Q$2&lt;&gt;F94,I94="10 to 6",J94=FALSE,K94=FALSE),B94,"")))))))), "")</f>
        <v/>
      </c>
    </row>
    <row r="95" spans="3:14" x14ac:dyDescent="0.2">
      <c r="C95"/>
      <c r="G95"/>
      <c r="J95"/>
      <c r="L95" s="30" t="str">
        <f ca="1">IFERROR(IF(AND(MASTER!$K$1=MASTER!$N$2,MASTER!K95="X"),"",IF(AND(MASTER!$J$1=MASTER!$N$2,MASTER!J95="X"),"",IF(AND(MASTER!$I$1=MASTER!$N$2,MASTER!I95="X"),"",IF(AND(MASTER!$H$1=MASTER!$N$2,MASTER!H95="X"),"",IF(AND(MASTER!$G$1=MASTER!$N$2,MASTER!G95="X"),"",IF(AND(MASTER!$F$1=MASTER!$N$2,MASTER!F95="X"),"",IF(AND(MASTER!$E$1=MASTER!$N$2,MASTER!E95="X"),"",IF(AND($Q$2&lt;&gt;D95,$Q$2&lt;&gt;E95,$Q$2&lt;&gt;F95,I95="6 to 2",J95=FALSE,K95=FALSE),B95,"")))))))), "")</f>
        <v/>
      </c>
      <c r="M95" s="34" t="str">
        <f ca="1">IFERROR(IF(AND(MASTER!$K$1=MASTER!$N$2,MASTER!K95="X"),"",IF(AND(MASTER!$J$1=MASTER!$N$2,MASTER!J95="X"),"",IF(AND(MASTER!$I$1=MASTER!$N$2,MASTER!I95="X"),"",IF(AND(MASTER!$H$1=MASTER!$N$2,MASTER!H95="X"),"",IF(AND(MASTER!$G$1=MASTER!$N$2,MASTER!G95="X"),"",IF(AND(MASTER!$F$1=MASTER!$N$2,MASTER!F95="X"),"",IF(AND(MASTER!$E$1=MASTER!$N$2,MASTER!E95="X"),"",IF(AND($Q$2&lt;&gt;D95,$Q$2&lt;&gt;E95,$Q$2&lt;&gt;F95,I95="2 to 10",J95=FALSE,K95=FALSE),B95,"")))))))), "")</f>
        <v/>
      </c>
      <c r="N95" s="44" t="str">
        <f ca="1">IFERROR(IF(AND(MASTER!$K$1=MASTER!$N$2,MASTER!K95="X"),"",IF(AND(MASTER!$J$1=MASTER!$N$2,MASTER!J95="X"),"",IF(AND(MASTER!$I$1=MASTER!$N$2,MASTER!I95="X"),"",IF(AND(MASTER!$H$1=MASTER!$N$2,MASTER!H95="X"),"",IF(AND(MASTER!$G$1=MASTER!$N$2,MASTER!G95="X"),"",IF(AND(MASTER!$F$1=MASTER!$N$2,MASTER!F95="X"),"",IF(AND(MASTER!$E$1=MASTER!$N$2,MASTER!E95="X"),"",IF(AND($Q$2&lt;&gt;D95,$Q$2&lt;&gt;E95,$Q$2&lt;&gt;F95,I95="10 to 6",J95=FALSE,K95=FALSE),B95,"")))))))), "")</f>
        <v/>
      </c>
    </row>
    <row r="96" spans="3:14" x14ac:dyDescent="0.2">
      <c r="C96"/>
      <c r="G96"/>
      <c r="J96"/>
      <c r="L96" s="30" t="str">
        <f ca="1">IFERROR(IF(AND(MASTER!$K$1=MASTER!$N$2,MASTER!K96="X"),"",IF(AND(MASTER!$J$1=MASTER!$N$2,MASTER!J96="X"),"",IF(AND(MASTER!$I$1=MASTER!$N$2,MASTER!I96="X"),"",IF(AND(MASTER!$H$1=MASTER!$N$2,MASTER!H96="X"),"",IF(AND(MASTER!$G$1=MASTER!$N$2,MASTER!G96="X"),"",IF(AND(MASTER!$F$1=MASTER!$N$2,MASTER!F96="X"),"",IF(AND(MASTER!$E$1=MASTER!$N$2,MASTER!E96="X"),"",IF(AND($Q$2&lt;&gt;D96,$Q$2&lt;&gt;E96,$Q$2&lt;&gt;F96,I96="6 to 2",J96=FALSE,K96=FALSE),B96,"")))))))), "")</f>
        <v/>
      </c>
      <c r="M96" s="34" t="str">
        <f ca="1">IFERROR(IF(AND(MASTER!$K$1=MASTER!$N$2,MASTER!K96="X"),"",IF(AND(MASTER!$J$1=MASTER!$N$2,MASTER!J96="X"),"",IF(AND(MASTER!$I$1=MASTER!$N$2,MASTER!I96="X"),"",IF(AND(MASTER!$H$1=MASTER!$N$2,MASTER!H96="X"),"",IF(AND(MASTER!$G$1=MASTER!$N$2,MASTER!G96="X"),"",IF(AND(MASTER!$F$1=MASTER!$N$2,MASTER!F96="X"),"",IF(AND(MASTER!$E$1=MASTER!$N$2,MASTER!E96="X"),"",IF(AND($Q$2&lt;&gt;D96,$Q$2&lt;&gt;E96,$Q$2&lt;&gt;F96,I96="2 to 10",J96=FALSE,K96=FALSE),B96,"")))))))), "")</f>
        <v/>
      </c>
      <c r="N96" s="44" t="str">
        <f ca="1">IFERROR(IF(AND(MASTER!$K$1=MASTER!$N$2,MASTER!K96="X"),"",IF(AND(MASTER!$J$1=MASTER!$N$2,MASTER!J96="X"),"",IF(AND(MASTER!$I$1=MASTER!$N$2,MASTER!I96="X"),"",IF(AND(MASTER!$H$1=MASTER!$N$2,MASTER!H96="X"),"",IF(AND(MASTER!$G$1=MASTER!$N$2,MASTER!G96="X"),"",IF(AND(MASTER!$F$1=MASTER!$N$2,MASTER!F96="X"),"",IF(AND(MASTER!$E$1=MASTER!$N$2,MASTER!E96="X"),"",IF(AND($Q$2&lt;&gt;D96,$Q$2&lt;&gt;E96,$Q$2&lt;&gt;F96,I96="10 to 6",J96=FALSE,K96=FALSE),B96,"")))))))), "")</f>
        <v/>
      </c>
    </row>
    <row r="97" spans="3:14" x14ac:dyDescent="0.2">
      <c r="C97"/>
      <c r="G97"/>
      <c r="J97"/>
      <c r="L97" s="30" t="str">
        <f ca="1">IFERROR(IF(AND(MASTER!$K$1=MASTER!$N$2,MASTER!K97="X"),"",IF(AND(MASTER!$J$1=MASTER!$N$2,MASTER!J97="X"),"",IF(AND(MASTER!$I$1=MASTER!$N$2,MASTER!I97="X"),"",IF(AND(MASTER!$H$1=MASTER!$N$2,MASTER!H97="X"),"",IF(AND(MASTER!$G$1=MASTER!$N$2,MASTER!G97="X"),"",IF(AND(MASTER!$F$1=MASTER!$N$2,MASTER!F97="X"),"",IF(AND(MASTER!$E$1=MASTER!$N$2,MASTER!E97="X"),"",IF(AND($Q$2&lt;&gt;D97,$Q$2&lt;&gt;E97,$Q$2&lt;&gt;F97,I97="6 to 2",J97=FALSE,K97=FALSE),B97,"")))))))), "")</f>
        <v/>
      </c>
      <c r="M97" s="34" t="str">
        <f ca="1">IFERROR(IF(AND(MASTER!$K$1=MASTER!$N$2,MASTER!K97="X"),"",IF(AND(MASTER!$J$1=MASTER!$N$2,MASTER!J97="X"),"",IF(AND(MASTER!$I$1=MASTER!$N$2,MASTER!I97="X"),"",IF(AND(MASTER!$H$1=MASTER!$N$2,MASTER!H97="X"),"",IF(AND(MASTER!$G$1=MASTER!$N$2,MASTER!G97="X"),"",IF(AND(MASTER!$F$1=MASTER!$N$2,MASTER!F97="X"),"",IF(AND(MASTER!$E$1=MASTER!$N$2,MASTER!E97="X"),"",IF(AND($Q$2&lt;&gt;D97,$Q$2&lt;&gt;E97,$Q$2&lt;&gt;F97,I97="2 to 10",J97=FALSE,K97=FALSE),B97,"")))))))), "")</f>
        <v/>
      </c>
      <c r="N97" s="44" t="str">
        <f ca="1">IFERROR(IF(AND(MASTER!$K$1=MASTER!$N$2,MASTER!K97="X"),"",IF(AND(MASTER!$J$1=MASTER!$N$2,MASTER!J97="X"),"",IF(AND(MASTER!$I$1=MASTER!$N$2,MASTER!I97="X"),"",IF(AND(MASTER!$H$1=MASTER!$N$2,MASTER!H97="X"),"",IF(AND(MASTER!$G$1=MASTER!$N$2,MASTER!G97="X"),"",IF(AND(MASTER!$F$1=MASTER!$N$2,MASTER!F97="X"),"",IF(AND(MASTER!$E$1=MASTER!$N$2,MASTER!E97="X"),"",IF(AND($Q$2&lt;&gt;D97,$Q$2&lt;&gt;E97,$Q$2&lt;&gt;F97,I97="10 to 6",J97=FALSE,K97=FALSE),B97,"")))))))), "")</f>
        <v/>
      </c>
    </row>
    <row r="98" spans="3:14" x14ac:dyDescent="0.2">
      <c r="C98"/>
      <c r="G98"/>
      <c r="J98"/>
      <c r="L98" s="30" t="str">
        <f ca="1">IFERROR(IF(AND(MASTER!$K$1=MASTER!$N$2,MASTER!K98="X"),"",IF(AND(MASTER!$J$1=MASTER!$N$2,MASTER!J98="X"),"",IF(AND(MASTER!$I$1=MASTER!$N$2,MASTER!I98="X"),"",IF(AND(MASTER!$H$1=MASTER!$N$2,MASTER!H98="X"),"",IF(AND(MASTER!$G$1=MASTER!$N$2,MASTER!G98="X"),"",IF(AND(MASTER!$F$1=MASTER!$N$2,MASTER!F98="X"),"",IF(AND(MASTER!$E$1=MASTER!$N$2,MASTER!E98="X"),"",IF(AND($Q$2&lt;&gt;D98,$Q$2&lt;&gt;E98,$Q$2&lt;&gt;F98,I98="6 to 2",J98=FALSE,K98=FALSE),B98,"")))))))), "")</f>
        <v/>
      </c>
      <c r="M98" s="34" t="str">
        <f ca="1">IFERROR(IF(AND(MASTER!$K$1=MASTER!$N$2,MASTER!K98="X"),"",IF(AND(MASTER!$J$1=MASTER!$N$2,MASTER!J98="X"),"",IF(AND(MASTER!$I$1=MASTER!$N$2,MASTER!I98="X"),"",IF(AND(MASTER!$H$1=MASTER!$N$2,MASTER!H98="X"),"",IF(AND(MASTER!$G$1=MASTER!$N$2,MASTER!G98="X"),"",IF(AND(MASTER!$F$1=MASTER!$N$2,MASTER!F98="X"),"",IF(AND(MASTER!$E$1=MASTER!$N$2,MASTER!E98="X"),"",IF(AND($Q$2&lt;&gt;D98,$Q$2&lt;&gt;E98,$Q$2&lt;&gt;F98,I98="2 to 10",J98=FALSE,K98=FALSE),B98,"")))))))), "")</f>
        <v/>
      </c>
      <c r="N98" s="44" t="str">
        <f ca="1">IFERROR(IF(AND(MASTER!$K$1=MASTER!$N$2,MASTER!K98="X"),"",IF(AND(MASTER!$J$1=MASTER!$N$2,MASTER!J98="X"),"",IF(AND(MASTER!$I$1=MASTER!$N$2,MASTER!I98="X"),"",IF(AND(MASTER!$H$1=MASTER!$N$2,MASTER!H98="X"),"",IF(AND(MASTER!$G$1=MASTER!$N$2,MASTER!G98="X"),"",IF(AND(MASTER!$F$1=MASTER!$N$2,MASTER!F98="X"),"",IF(AND(MASTER!$E$1=MASTER!$N$2,MASTER!E98="X"),"",IF(AND($Q$2&lt;&gt;D98,$Q$2&lt;&gt;E98,$Q$2&lt;&gt;F98,I98="10 to 6",J98=FALSE,K98=FALSE),B98,"")))))))), "")</f>
        <v/>
      </c>
    </row>
    <row r="99" spans="3:14" x14ac:dyDescent="0.2">
      <c r="C99"/>
      <c r="G99"/>
      <c r="J99"/>
      <c r="L99" s="30" t="str">
        <f ca="1">IFERROR(IF(AND(MASTER!$K$1=MASTER!$N$2,MASTER!K99="X"),"",IF(AND(MASTER!$J$1=MASTER!$N$2,MASTER!J99="X"),"",IF(AND(MASTER!$I$1=MASTER!$N$2,MASTER!I99="X"),"",IF(AND(MASTER!$H$1=MASTER!$N$2,MASTER!H99="X"),"",IF(AND(MASTER!$G$1=MASTER!$N$2,MASTER!G99="X"),"",IF(AND(MASTER!$F$1=MASTER!$N$2,MASTER!F99="X"),"",IF(AND(MASTER!$E$1=MASTER!$N$2,MASTER!E99="X"),"",IF(AND($Q$2&lt;&gt;D99,$Q$2&lt;&gt;E99,$Q$2&lt;&gt;F99,I99="6 to 2",J99=FALSE,K99=FALSE),B99,"")))))))), "")</f>
        <v/>
      </c>
      <c r="M99" s="34" t="str">
        <f ca="1">IFERROR(IF(AND(MASTER!$K$1=MASTER!$N$2,MASTER!K99="X"),"",IF(AND(MASTER!$J$1=MASTER!$N$2,MASTER!J99="X"),"",IF(AND(MASTER!$I$1=MASTER!$N$2,MASTER!I99="X"),"",IF(AND(MASTER!$H$1=MASTER!$N$2,MASTER!H99="X"),"",IF(AND(MASTER!$G$1=MASTER!$N$2,MASTER!G99="X"),"",IF(AND(MASTER!$F$1=MASTER!$N$2,MASTER!F99="X"),"",IF(AND(MASTER!$E$1=MASTER!$N$2,MASTER!E99="X"),"",IF(AND($Q$2&lt;&gt;D99,$Q$2&lt;&gt;E99,$Q$2&lt;&gt;F99,I99="2 to 10",J99=FALSE,K99=FALSE),B99,"")))))))), "")</f>
        <v/>
      </c>
      <c r="N99" s="44" t="str">
        <f ca="1">IFERROR(IF(AND(MASTER!$K$1=MASTER!$N$2,MASTER!K99="X"),"",IF(AND(MASTER!$J$1=MASTER!$N$2,MASTER!J99="X"),"",IF(AND(MASTER!$I$1=MASTER!$N$2,MASTER!I99="X"),"",IF(AND(MASTER!$H$1=MASTER!$N$2,MASTER!H99="X"),"",IF(AND(MASTER!$G$1=MASTER!$N$2,MASTER!G99="X"),"",IF(AND(MASTER!$F$1=MASTER!$N$2,MASTER!F99="X"),"",IF(AND(MASTER!$E$1=MASTER!$N$2,MASTER!E99="X"),"",IF(AND($Q$2&lt;&gt;D99,$Q$2&lt;&gt;E99,$Q$2&lt;&gt;F99,I99="10 to 6",J99=FALSE,K99=FALSE),B99,"")))))))), "")</f>
        <v/>
      </c>
    </row>
    <row r="100" spans="3:14" x14ac:dyDescent="0.2">
      <c r="C100"/>
      <c r="G100"/>
      <c r="J100"/>
      <c r="L100" s="30" t="str">
        <f ca="1">IFERROR(IF(AND(MASTER!$K$1=MASTER!$N$2,MASTER!K100="X"),"",IF(AND(MASTER!$J$1=MASTER!$N$2,MASTER!J100="X"),"",IF(AND(MASTER!$I$1=MASTER!$N$2,MASTER!I100="X"),"",IF(AND(MASTER!$H$1=MASTER!$N$2,MASTER!H100="X"),"",IF(AND(MASTER!$G$1=MASTER!$N$2,MASTER!G100="X"),"",IF(AND(MASTER!$F$1=MASTER!$N$2,MASTER!F100="X"),"",IF(AND(MASTER!$E$1=MASTER!$N$2,MASTER!E100="X"),"",IF(AND($Q$2&lt;&gt;D100,$Q$2&lt;&gt;E100,$Q$2&lt;&gt;F100,I100="6 to 2",J100=FALSE,K100=FALSE),B100,"")))))))), "")</f>
        <v/>
      </c>
      <c r="M100" s="34" t="str">
        <f ca="1">IFERROR(IF(AND(MASTER!$K$1=MASTER!$N$2,MASTER!K100="X"),"",IF(AND(MASTER!$J$1=MASTER!$N$2,MASTER!J100="X"),"",IF(AND(MASTER!$I$1=MASTER!$N$2,MASTER!I100="X"),"",IF(AND(MASTER!$H$1=MASTER!$N$2,MASTER!H100="X"),"",IF(AND(MASTER!$G$1=MASTER!$N$2,MASTER!G100="X"),"",IF(AND(MASTER!$F$1=MASTER!$N$2,MASTER!F100="X"),"",IF(AND(MASTER!$E$1=MASTER!$N$2,MASTER!E100="X"),"",IF(AND($Q$2&lt;&gt;D100,$Q$2&lt;&gt;E100,$Q$2&lt;&gt;F100,I100="2 to 10",J100=FALSE,K100=FALSE),B100,"")))))))), "")</f>
        <v/>
      </c>
      <c r="N100" s="44" t="str">
        <f ca="1">IFERROR(IF(AND(MASTER!$K$1=MASTER!$N$2,MASTER!K100="X"),"",IF(AND(MASTER!$J$1=MASTER!$N$2,MASTER!J100="X"),"",IF(AND(MASTER!$I$1=MASTER!$N$2,MASTER!I100="X"),"",IF(AND(MASTER!$H$1=MASTER!$N$2,MASTER!H100="X"),"",IF(AND(MASTER!$G$1=MASTER!$N$2,MASTER!G100="X"),"",IF(AND(MASTER!$F$1=MASTER!$N$2,MASTER!F100="X"),"",IF(AND(MASTER!$E$1=MASTER!$N$2,MASTER!E100="X"),"",IF(AND($Q$2&lt;&gt;D100,$Q$2&lt;&gt;E100,$Q$2&lt;&gt;F100,I100="10 to 6",J100=FALSE,K100=FALSE),B100,"")))))))), "")</f>
        <v/>
      </c>
    </row>
    <row r="101" spans="3:14" x14ac:dyDescent="0.2">
      <c r="C101"/>
      <c r="G101"/>
      <c r="J101"/>
      <c r="L101" s="30" t="str">
        <f ca="1">IFERROR(IF(AND(MASTER!$K$1=MASTER!$N$2,MASTER!K101="X"),"",IF(AND(MASTER!$J$1=MASTER!$N$2,MASTER!J101="X"),"",IF(AND(MASTER!$I$1=MASTER!$N$2,MASTER!I101="X"),"",IF(AND(MASTER!$H$1=MASTER!$N$2,MASTER!H101="X"),"",IF(AND(MASTER!$G$1=MASTER!$N$2,MASTER!G101="X"),"",IF(AND(MASTER!$F$1=MASTER!$N$2,MASTER!F101="X"),"",IF(AND(MASTER!$E$1=MASTER!$N$2,MASTER!E101="X"),"",IF(AND($Q$2&lt;&gt;D101,$Q$2&lt;&gt;E101,$Q$2&lt;&gt;F101,I101="6 to 2",J101=FALSE,K101=FALSE),B101,"")))))))), "")</f>
        <v/>
      </c>
      <c r="M101" s="34" t="str">
        <f ca="1">IFERROR(IF(AND(MASTER!$K$1=MASTER!$N$2,MASTER!K101="X"),"",IF(AND(MASTER!$J$1=MASTER!$N$2,MASTER!J101="X"),"",IF(AND(MASTER!$I$1=MASTER!$N$2,MASTER!I101="X"),"",IF(AND(MASTER!$H$1=MASTER!$N$2,MASTER!H101="X"),"",IF(AND(MASTER!$G$1=MASTER!$N$2,MASTER!G101="X"),"",IF(AND(MASTER!$F$1=MASTER!$N$2,MASTER!F101="X"),"",IF(AND(MASTER!$E$1=MASTER!$N$2,MASTER!E101="X"),"",IF(AND($Q$2&lt;&gt;D101,$Q$2&lt;&gt;E101,$Q$2&lt;&gt;F101,I101="2 to 10",J101=FALSE,K101=FALSE),B101,"")))))))), "")</f>
        <v/>
      </c>
      <c r="N101" s="44" t="str">
        <f ca="1">IFERROR(IF(AND(MASTER!$K$1=MASTER!$N$2,MASTER!K101="X"),"",IF(AND(MASTER!$J$1=MASTER!$N$2,MASTER!J101="X"),"",IF(AND(MASTER!$I$1=MASTER!$N$2,MASTER!I101="X"),"",IF(AND(MASTER!$H$1=MASTER!$N$2,MASTER!H101="X"),"",IF(AND(MASTER!$G$1=MASTER!$N$2,MASTER!G101="X"),"",IF(AND(MASTER!$F$1=MASTER!$N$2,MASTER!F101="X"),"",IF(AND(MASTER!$E$1=MASTER!$N$2,MASTER!E101="X"),"",IF(AND($Q$2&lt;&gt;D101,$Q$2&lt;&gt;E101,$Q$2&lt;&gt;F101,I101="10 to 6",J101=FALSE,K101=FALSE),B101,"")))))))), "")</f>
        <v/>
      </c>
    </row>
    <row r="102" spans="3:14" x14ac:dyDescent="0.2">
      <c r="C102"/>
      <c r="G102"/>
      <c r="J102"/>
      <c r="L102" s="30" t="str">
        <f ca="1">IFERROR(IF(AND(MASTER!$K$1=MASTER!$N$2,MASTER!K102="X"),"",IF(AND(MASTER!$J$1=MASTER!$N$2,MASTER!J102="X"),"",IF(AND(MASTER!$I$1=MASTER!$N$2,MASTER!I102="X"),"",IF(AND(MASTER!$H$1=MASTER!$N$2,MASTER!H102="X"),"",IF(AND(MASTER!$G$1=MASTER!$N$2,MASTER!G102="X"),"",IF(AND(MASTER!$F$1=MASTER!$N$2,MASTER!F102="X"),"",IF(AND(MASTER!$E$1=MASTER!$N$2,MASTER!E102="X"),"",IF(AND($Q$2&lt;&gt;D102,$Q$2&lt;&gt;E102,$Q$2&lt;&gt;F102,I102="6 to 2",J102=FALSE,K102=FALSE),B102,"")))))))), "")</f>
        <v/>
      </c>
      <c r="M102" s="34" t="str">
        <f ca="1">IFERROR(IF(AND(MASTER!$K$1=MASTER!$N$2,MASTER!K102="X"),"",IF(AND(MASTER!$J$1=MASTER!$N$2,MASTER!J102="X"),"",IF(AND(MASTER!$I$1=MASTER!$N$2,MASTER!I102="X"),"",IF(AND(MASTER!$H$1=MASTER!$N$2,MASTER!H102="X"),"",IF(AND(MASTER!$G$1=MASTER!$N$2,MASTER!G102="X"),"",IF(AND(MASTER!$F$1=MASTER!$N$2,MASTER!F102="X"),"",IF(AND(MASTER!$E$1=MASTER!$N$2,MASTER!E102="X"),"",IF(AND($Q$2&lt;&gt;D102,$Q$2&lt;&gt;E102,$Q$2&lt;&gt;F102,I102="2 to 10",J102=FALSE,K102=FALSE),B102,"")))))))), "")</f>
        <v/>
      </c>
      <c r="N102" s="44" t="str">
        <f ca="1">IFERROR(IF(AND(MASTER!$K$1=MASTER!$N$2,MASTER!K102="X"),"",IF(AND(MASTER!$J$1=MASTER!$N$2,MASTER!J102="X"),"",IF(AND(MASTER!$I$1=MASTER!$N$2,MASTER!I102="X"),"",IF(AND(MASTER!$H$1=MASTER!$N$2,MASTER!H102="X"),"",IF(AND(MASTER!$G$1=MASTER!$N$2,MASTER!G102="X"),"",IF(AND(MASTER!$F$1=MASTER!$N$2,MASTER!F102="X"),"",IF(AND(MASTER!$E$1=MASTER!$N$2,MASTER!E102="X"),"",IF(AND($Q$2&lt;&gt;D102,$Q$2&lt;&gt;E102,$Q$2&lt;&gt;F102,I102="10 to 6",J102=FALSE,K102=FALSE),B102,"")))))))), "")</f>
        <v/>
      </c>
    </row>
    <row r="103" spans="3:14" x14ac:dyDescent="0.2">
      <c r="C103"/>
      <c r="G103"/>
      <c r="J103"/>
      <c r="L103" s="30" t="str">
        <f ca="1">IFERROR(IF(AND(MASTER!$K$1=MASTER!$N$2,MASTER!K103="X"),"",IF(AND(MASTER!$J$1=MASTER!$N$2,MASTER!J103="X"),"",IF(AND(MASTER!$I$1=MASTER!$N$2,MASTER!I103="X"),"",IF(AND(MASTER!$H$1=MASTER!$N$2,MASTER!H103="X"),"",IF(AND(MASTER!$G$1=MASTER!$N$2,MASTER!G103="X"),"",IF(AND(MASTER!$F$1=MASTER!$N$2,MASTER!F103="X"),"",IF(AND(MASTER!$E$1=MASTER!$N$2,MASTER!E103="X"),"",IF(AND($Q$2&lt;&gt;D103,$Q$2&lt;&gt;E103,$Q$2&lt;&gt;F103,I103="6 to 2",J103=FALSE,K103=FALSE),B103,"")))))))), "")</f>
        <v/>
      </c>
      <c r="M103" s="34" t="str">
        <f ca="1">IFERROR(IF(AND(MASTER!$K$1=MASTER!$N$2,MASTER!K103="X"),"",IF(AND(MASTER!$J$1=MASTER!$N$2,MASTER!J103="X"),"",IF(AND(MASTER!$I$1=MASTER!$N$2,MASTER!I103="X"),"",IF(AND(MASTER!$H$1=MASTER!$N$2,MASTER!H103="X"),"",IF(AND(MASTER!$G$1=MASTER!$N$2,MASTER!G103="X"),"",IF(AND(MASTER!$F$1=MASTER!$N$2,MASTER!F103="X"),"",IF(AND(MASTER!$E$1=MASTER!$N$2,MASTER!E103="X"),"",IF(AND($Q$2&lt;&gt;D103,$Q$2&lt;&gt;E103,$Q$2&lt;&gt;F103,I103="2 to 10",J103=FALSE,K103=FALSE),B103,"")))))))), "")</f>
        <v/>
      </c>
      <c r="N103" s="44" t="str">
        <f ca="1">IFERROR(IF(AND(MASTER!$K$1=MASTER!$N$2,MASTER!K103="X"),"",IF(AND(MASTER!$J$1=MASTER!$N$2,MASTER!J103="X"),"",IF(AND(MASTER!$I$1=MASTER!$N$2,MASTER!I103="X"),"",IF(AND(MASTER!$H$1=MASTER!$N$2,MASTER!H103="X"),"",IF(AND(MASTER!$G$1=MASTER!$N$2,MASTER!G103="X"),"",IF(AND(MASTER!$F$1=MASTER!$N$2,MASTER!F103="X"),"",IF(AND(MASTER!$E$1=MASTER!$N$2,MASTER!E103="X"),"",IF(AND($Q$2&lt;&gt;D103,$Q$2&lt;&gt;E103,$Q$2&lt;&gt;F103,I103="10 to 6",J103=FALSE,K103=FALSE),B103,"")))))))), "")</f>
        <v/>
      </c>
    </row>
    <row r="104" spans="3:14" x14ac:dyDescent="0.2">
      <c r="C104"/>
      <c r="G104"/>
      <c r="J104"/>
      <c r="L104" s="30" t="str">
        <f ca="1">IFERROR(IF(AND(MASTER!$K$1=MASTER!$N$2,MASTER!K104="X"),"",IF(AND(MASTER!$J$1=MASTER!$N$2,MASTER!J104="X"),"",IF(AND(MASTER!$I$1=MASTER!$N$2,MASTER!I104="X"),"",IF(AND(MASTER!$H$1=MASTER!$N$2,MASTER!H104="X"),"",IF(AND(MASTER!$G$1=MASTER!$N$2,MASTER!G104="X"),"",IF(AND(MASTER!$F$1=MASTER!$N$2,MASTER!F104="X"),"",IF(AND(MASTER!$E$1=MASTER!$N$2,MASTER!E104="X"),"",IF(AND($Q$2&lt;&gt;D104,$Q$2&lt;&gt;E104,$Q$2&lt;&gt;F104,I104="6 to 2",J104=FALSE,K104=FALSE),B104,"")))))))), "")</f>
        <v/>
      </c>
      <c r="M104" s="34" t="str">
        <f ca="1">IFERROR(IF(AND(MASTER!$K$1=MASTER!$N$2,MASTER!K104="X"),"",IF(AND(MASTER!$J$1=MASTER!$N$2,MASTER!J104="X"),"",IF(AND(MASTER!$I$1=MASTER!$N$2,MASTER!I104="X"),"",IF(AND(MASTER!$H$1=MASTER!$N$2,MASTER!H104="X"),"",IF(AND(MASTER!$G$1=MASTER!$N$2,MASTER!G104="X"),"",IF(AND(MASTER!$F$1=MASTER!$N$2,MASTER!F104="X"),"",IF(AND(MASTER!$E$1=MASTER!$N$2,MASTER!E104="X"),"",IF(AND($Q$2&lt;&gt;D104,$Q$2&lt;&gt;E104,$Q$2&lt;&gt;F104,I104="2 to 10",J104=FALSE,K104=FALSE),B104,"")))))))), "")</f>
        <v/>
      </c>
      <c r="N104" s="44" t="str">
        <f ca="1">IFERROR(IF(AND(MASTER!$K$1=MASTER!$N$2,MASTER!K104="X"),"",IF(AND(MASTER!$J$1=MASTER!$N$2,MASTER!J104="X"),"",IF(AND(MASTER!$I$1=MASTER!$N$2,MASTER!I104="X"),"",IF(AND(MASTER!$H$1=MASTER!$N$2,MASTER!H104="X"),"",IF(AND(MASTER!$G$1=MASTER!$N$2,MASTER!G104="X"),"",IF(AND(MASTER!$F$1=MASTER!$N$2,MASTER!F104="X"),"",IF(AND(MASTER!$E$1=MASTER!$N$2,MASTER!E104="X"),"",IF(AND($Q$2&lt;&gt;D104,$Q$2&lt;&gt;E104,$Q$2&lt;&gt;F104,I104="10 to 6",J104=FALSE,K104=FALSE),B104,"")))))))), "")</f>
        <v/>
      </c>
    </row>
    <row r="105" spans="3:14" x14ac:dyDescent="0.2">
      <c r="C105"/>
      <c r="G105"/>
      <c r="J105"/>
      <c r="L105" s="30" t="str">
        <f ca="1">IFERROR(IF(AND(MASTER!$K$1=MASTER!$N$2,MASTER!K105="X"),"",IF(AND(MASTER!$J$1=MASTER!$N$2,MASTER!J105="X"),"",IF(AND(MASTER!$I$1=MASTER!$N$2,MASTER!I105="X"),"",IF(AND(MASTER!$H$1=MASTER!$N$2,MASTER!H105="X"),"",IF(AND(MASTER!$G$1=MASTER!$N$2,MASTER!G105="X"),"",IF(AND(MASTER!$F$1=MASTER!$N$2,MASTER!F105="X"),"",IF(AND(MASTER!$E$1=MASTER!$N$2,MASTER!E105="X"),"",IF(AND($Q$2&lt;&gt;D105,$Q$2&lt;&gt;E105,$Q$2&lt;&gt;F105,I105="6 to 2",J105=FALSE,K105=FALSE),B105,"")))))))), "")</f>
        <v/>
      </c>
      <c r="M105" s="34" t="str">
        <f ca="1">IFERROR(IF(AND(MASTER!$K$1=MASTER!$N$2,MASTER!K105="X"),"",IF(AND(MASTER!$J$1=MASTER!$N$2,MASTER!J105="X"),"",IF(AND(MASTER!$I$1=MASTER!$N$2,MASTER!I105="X"),"",IF(AND(MASTER!$H$1=MASTER!$N$2,MASTER!H105="X"),"",IF(AND(MASTER!$G$1=MASTER!$N$2,MASTER!G105="X"),"",IF(AND(MASTER!$F$1=MASTER!$N$2,MASTER!F105="X"),"",IF(AND(MASTER!$E$1=MASTER!$N$2,MASTER!E105="X"),"",IF(AND($Q$2&lt;&gt;D105,$Q$2&lt;&gt;E105,$Q$2&lt;&gt;F105,I105="2 to 10",J105=FALSE,K105=FALSE),B105,"")))))))), "")</f>
        <v/>
      </c>
      <c r="N105" s="44" t="str">
        <f ca="1">IFERROR(IF(AND(MASTER!$K$1=MASTER!$N$2,MASTER!K105="X"),"",IF(AND(MASTER!$J$1=MASTER!$N$2,MASTER!J105="X"),"",IF(AND(MASTER!$I$1=MASTER!$N$2,MASTER!I105="X"),"",IF(AND(MASTER!$H$1=MASTER!$N$2,MASTER!H105="X"),"",IF(AND(MASTER!$G$1=MASTER!$N$2,MASTER!G105="X"),"",IF(AND(MASTER!$F$1=MASTER!$N$2,MASTER!F105="X"),"",IF(AND(MASTER!$E$1=MASTER!$N$2,MASTER!E105="X"),"",IF(AND($Q$2&lt;&gt;D105,$Q$2&lt;&gt;E105,$Q$2&lt;&gt;F105,I105="10 to 6",J105=FALSE,K105=FALSE),B105,"")))))))), "")</f>
        <v/>
      </c>
    </row>
    <row r="106" spans="3:14" x14ac:dyDescent="0.2">
      <c r="C106"/>
      <c r="G106"/>
      <c r="J106"/>
      <c r="L106" s="30" t="str">
        <f ca="1">IFERROR(IF(AND(MASTER!$K$1=MASTER!$N$2,MASTER!K106="X"),"",IF(AND(MASTER!$J$1=MASTER!$N$2,MASTER!J106="X"),"",IF(AND(MASTER!$I$1=MASTER!$N$2,MASTER!I106="X"),"",IF(AND(MASTER!$H$1=MASTER!$N$2,MASTER!H106="X"),"",IF(AND(MASTER!$G$1=MASTER!$N$2,MASTER!G106="X"),"",IF(AND(MASTER!$F$1=MASTER!$N$2,MASTER!F106="X"),"",IF(AND(MASTER!$E$1=MASTER!$N$2,MASTER!E106="X"),"",IF(AND($Q$2&lt;&gt;D106,$Q$2&lt;&gt;E106,$Q$2&lt;&gt;F106,I106="6 to 2",J106=FALSE,K106=FALSE),B106,"")))))))), "")</f>
        <v/>
      </c>
      <c r="M106" s="34" t="str">
        <f ca="1">IFERROR(IF(AND(MASTER!$K$1=MASTER!$N$2,MASTER!K106="X"),"",IF(AND(MASTER!$J$1=MASTER!$N$2,MASTER!J106="X"),"",IF(AND(MASTER!$I$1=MASTER!$N$2,MASTER!I106="X"),"",IF(AND(MASTER!$H$1=MASTER!$N$2,MASTER!H106="X"),"",IF(AND(MASTER!$G$1=MASTER!$N$2,MASTER!G106="X"),"",IF(AND(MASTER!$F$1=MASTER!$N$2,MASTER!F106="X"),"",IF(AND(MASTER!$E$1=MASTER!$N$2,MASTER!E106="X"),"",IF(AND($Q$2&lt;&gt;D106,$Q$2&lt;&gt;E106,$Q$2&lt;&gt;F106,I106="2 to 10",J106=FALSE,K106=FALSE),B106,"")))))))), "")</f>
        <v/>
      </c>
      <c r="N106" s="44" t="str">
        <f ca="1">IFERROR(IF(AND(MASTER!$K$1=MASTER!$N$2,MASTER!K106="X"),"",IF(AND(MASTER!$J$1=MASTER!$N$2,MASTER!J106="X"),"",IF(AND(MASTER!$I$1=MASTER!$N$2,MASTER!I106="X"),"",IF(AND(MASTER!$H$1=MASTER!$N$2,MASTER!H106="X"),"",IF(AND(MASTER!$G$1=MASTER!$N$2,MASTER!G106="X"),"",IF(AND(MASTER!$F$1=MASTER!$N$2,MASTER!F106="X"),"",IF(AND(MASTER!$E$1=MASTER!$N$2,MASTER!E106="X"),"",IF(AND($Q$2&lt;&gt;D106,$Q$2&lt;&gt;E106,$Q$2&lt;&gt;F106,I106="10 to 6",J106=FALSE,K106=FALSE),B106,"")))))))), "")</f>
        <v/>
      </c>
    </row>
    <row r="107" spans="3:14" x14ac:dyDescent="0.2">
      <c r="C107"/>
      <c r="G107"/>
      <c r="J107"/>
      <c r="L107" s="30" t="str">
        <f ca="1">IFERROR(IF(AND(MASTER!$K$1=MASTER!$N$2,MASTER!K107="X"),"",IF(AND(MASTER!$J$1=MASTER!$N$2,MASTER!J107="X"),"",IF(AND(MASTER!$I$1=MASTER!$N$2,MASTER!I107="X"),"",IF(AND(MASTER!$H$1=MASTER!$N$2,MASTER!H107="X"),"",IF(AND(MASTER!$G$1=MASTER!$N$2,MASTER!G107="X"),"",IF(AND(MASTER!$F$1=MASTER!$N$2,MASTER!F107="X"),"",IF(AND(MASTER!$E$1=MASTER!$N$2,MASTER!E107="X"),"",IF(AND($Q$2&lt;&gt;D107,$Q$2&lt;&gt;E107,$Q$2&lt;&gt;F107,I107="6 to 2",J107=FALSE,K107=FALSE),B107,"")))))))), "")</f>
        <v/>
      </c>
      <c r="M107" s="34" t="str">
        <f ca="1">IFERROR(IF(AND(MASTER!$K$1=MASTER!$N$2,MASTER!K107="X"),"",IF(AND(MASTER!$J$1=MASTER!$N$2,MASTER!J107="X"),"",IF(AND(MASTER!$I$1=MASTER!$N$2,MASTER!I107="X"),"",IF(AND(MASTER!$H$1=MASTER!$N$2,MASTER!H107="X"),"",IF(AND(MASTER!$G$1=MASTER!$N$2,MASTER!G107="X"),"",IF(AND(MASTER!$F$1=MASTER!$N$2,MASTER!F107="X"),"",IF(AND(MASTER!$E$1=MASTER!$N$2,MASTER!E107="X"),"",IF(AND($Q$2&lt;&gt;D107,$Q$2&lt;&gt;E107,$Q$2&lt;&gt;F107,I107="2 to 10",J107=FALSE,K107=FALSE),B107,"")))))))), "")</f>
        <v/>
      </c>
      <c r="N107" s="44" t="str">
        <f ca="1">IFERROR(IF(AND(MASTER!$K$1=MASTER!$N$2,MASTER!K107="X"),"",IF(AND(MASTER!$J$1=MASTER!$N$2,MASTER!J107="X"),"",IF(AND(MASTER!$I$1=MASTER!$N$2,MASTER!I107="X"),"",IF(AND(MASTER!$H$1=MASTER!$N$2,MASTER!H107="X"),"",IF(AND(MASTER!$G$1=MASTER!$N$2,MASTER!G107="X"),"",IF(AND(MASTER!$F$1=MASTER!$N$2,MASTER!F107="X"),"",IF(AND(MASTER!$E$1=MASTER!$N$2,MASTER!E107="X"),"",IF(AND($Q$2&lt;&gt;D107,$Q$2&lt;&gt;E107,$Q$2&lt;&gt;F107,I107="10 to 6",J107=FALSE,K107=FALSE),B107,"")))))))), "")</f>
        <v/>
      </c>
    </row>
    <row r="108" spans="3:14" x14ac:dyDescent="0.2">
      <c r="C108"/>
      <c r="G108"/>
      <c r="J108"/>
      <c r="L108" s="30" t="str">
        <f ca="1">IFERROR(IF(AND(MASTER!$K$1=MASTER!$N$2,MASTER!K108="X"),"",IF(AND(MASTER!$J$1=MASTER!$N$2,MASTER!J108="X"),"",IF(AND(MASTER!$I$1=MASTER!$N$2,MASTER!I108="X"),"",IF(AND(MASTER!$H$1=MASTER!$N$2,MASTER!H108="X"),"",IF(AND(MASTER!$G$1=MASTER!$N$2,MASTER!G108="X"),"",IF(AND(MASTER!$F$1=MASTER!$N$2,MASTER!F108="X"),"",IF(AND(MASTER!$E$1=MASTER!$N$2,MASTER!E108="X"),"",IF(AND($Q$2&lt;&gt;D108,$Q$2&lt;&gt;E108,$Q$2&lt;&gt;F108,I108="6 to 2",J108=FALSE,K108=FALSE),B108,"")))))))), "")</f>
        <v/>
      </c>
      <c r="M108" s="34" t="str">
        <f ca="1">IFERROR(IF(AND(MASTER!$K$1=MASTER!$N$2,MASTER!K108="X"),"",IF(AND(MASTER!$J$1=MASTER!$N$2,MASTER!J108="X"),"",IF(AND(MASTER!$I$1=MASTER!$N$2,MASTER!I108="X"),"",IF(AND(MASTER!$H$1=MASTER!$N$2,MASTER!H108="X"),"",IF(AND(MASTER!$G$1=MASTER!$N$2,MASTER!G108="X"),"",IF(AND(MASTER!$F$1=MASTER!$N$2,MASTER!F108="X"),"",IF(AND(MASTER!$E$1=MASTER!$N$2,MASTER!E108="X"),"",IF(AND($Q$2&lt;&gt;D108,$Q$2&lt;&gt;E108,$Q$2&lt;&gt;F108,I108="2 to 10",J108=FALSE,K108=FALSE),B108,"")))))))), "")</f>
        <v/>
      </c>
      <c r="N108" s="44" t="str">
        <f ca="1">IFERROR(IF(AND(MASTER!$K$1=MASTER!$N$2,MASTER!K108="X"),"",IF(AND(MASTER!$J$1=MASTER!$N$2,MASTER!J108="X"),"",IF(AND(MASTER!$I$1=MASTER!$N$2,MASTER!I108="X"),"",IF(AND(MASTER!$H$1=MASTER!$N$2,MASTER!H108="X"),"",IF(AND(MASTER!$G$1=MASTER!$N$2,MASTER!G108="X"),"",IF(AND(MASTER!$F$1=MASTER!$N$2,MASTER!F108="X"),"",IF(AND(MASTER!$E$1=MASTER!$N$2,MASTER!E108="X"),"",IF(AND($Q$2&lt;&gt;D108,$Q$2&lt;&gt;E108,$Q$2&lt;&gt;F108,I108="10 to 6",J108=FALSE,K108=FALSE),B108,"")))))))), "")</f>
        <v/>
      </c>
    </row>
    <row r="109" spans="3:14" x14ac:dyDescent="0.2">
      <c r="C109"/>
      <c r="G109"/>
      <c r="J109"/>
      <c r="L109" s="30" t="str">
        <f ca="1">IFERROR(IF(AND(MASTER!$K$1=MASTER!$N$2,MASTER!K109="X"),"",IF(AND(MASTER!$J$1=MASTER!$N$2,MASTER!J109="X"),"",IF(AND(MASTER!$I$1=MASTER!$N$2,MASTER!I109="X"),"",IF(AND(MASTER!$H$1=MASTER!$N$2,MASTER!H109="X"),"",IF(AND(MASTER!$G$1=MASTER!$N$2,MASTER!G109="X"),"",IF(AND(MASTER!$F$1=MASTER!$N$2,MASTER!F109="X"),"",IF(AND(MASTER!$E$1=MASTER!$N$2,MASTER!E109="X"),"",IF(AND($Q$2&lt;&gt;D109,$Q$2&lt;&gt;E109,$Q$2&lt;&gt;F109,I109="6 to 2",J109=FALSE,K109=FALSE),B109,"")))))))), "")</f>
        <v/>
      </c>
      <c r="M109" s="34" t="str">
        <f ca="1">IFERROR(IF(AND(MASTER!$K$1=MASTER!$N$2,MASTER!K109="X"),"",IF(AND(MASTER!$J$1=MASTER!$N$2,MASTER!J109="X"),"",IF(AND(MASTER!$I$1=MASTER!$N$2,MASTER!I109="X"),"",IF(AND(MASTER!$H$1=MASTER!$N$2,MASTER!H109="X"),"",IF(AND(MASTER!$G$1=MASTER!$N$2,MASTER!G109="X"),"",IF(AND(MASTER!$F$1=MASTER!$N$2,MASTER!F109="X"),"",IF(AND(MASTER!$E$1=MASTER!$N$2,MASTER!E109="X"),"",IF(AND($Q$2&lt;&gt;D109,$Q$2&lt;&gt;E109,$Q$2&lt;&gt;F109,I109="2 to 10",J109=FALSE,K109=FALSE),B109,"")))))))), "")</f>
        <v/>
      </c>
      <c r="N109" s="44" t="str">
        <f ca="1">IFERROR(IF(AND(MASTER!$K$1=MASTER!$N$2,MASTER!K109="X"),"",IF(AND(MASTER!$J$1=MASTER!$N$2,MASTER!J109="X"),"",IF(AND(MASTER!$I$1=MASTER!$N$2,MASTER!I109="X"),"",IF(AND(MASTER!$H$1=MASTER!$N$2,MASTER!H109="X"),"",IF(AND(MASTER!$G$1=MASTER!$N$2,MASTER!G109="X"),"",IF(AND(MASTER!$F$1=MASTER!$N$2,MASTER!F109="X"),"",IF(AND(MASTER!$E$1=MASTER!$N$2,MASTER!E109="X"),"",IF(AND($Q$2&lt;&gt;D109,$Q$2&lt;&gt;E109,$Q$2&lt;&gt;F109,I109="10 to 6",J109=FALSE,K109=FALSE),B109,"")))))))), "")</f>
        <v/>
      </c>
    </row>
    <row r="110" spans="3:14" x14ac:dyDescent="0.2">
      <c r="C110"/>
      <c r="G110"/>
      <c r="J110"/>
      <c r="L110" s="30" t="str">
        <f ca="1">IFERROR(IF(AND(MASTER!$K$1=MASTER!$N$2,MASTER!K110="X"),"",IF(AND(MASTER!$J$1=MASTER!$N$2,MASTER!J110="X"),"",IF(AND(MASTER!$I$1=MASTER!$N$2,MASTER!I110="X"),"",IF(AND(MASTER!$H$1=MASTER!$N$2,MASTER!H110="X"),"",IF(AND(MASTER!$G$1=MASTER!$N$2,MASTER!G110="X"),"",IF(AND(MASTER!$F$1=MASTER!$N$2,MASTER!F110="X"),"",IF(AND(MASTER!$E$1=MASTER!$N$2,MASTER!E110="X"),"",IF(AND($Q$2&lt;&gt;D110,$Q$2&lt;&gt;E110,$Q$2&lt;&gt;F110,I110="6 to 2",J110=FALSE,K110=FALSE),B110,"")))))))), "")</f>
        <v/>
      </c>
      <c r="M110" s="34" t="str">
        <f ca="1">IFERROR(IF(AND(MASTER!$K$1=MASTER!$N$2,MASTER!K110="X"),"",IF(AND(MASTER!$J$1=MASTER!$N$2,MASTER!J110="X"),"",IF(AND(MASTER!$I$1=MASTER!$N$2,MASTER!I110="X"),"",IF(AND(MASTER!$H$1=MASTER!$N$2,MASTER!H110="X"),"",IF(AND(MASTER!$G$1=MASTER!$N$2,MASTER!G110="X"),"",IF(AND(MASTER!$F$1=MASTER!$N$2,MASTER!F110="X"),"",IF(AND(MASTER!$E$1=MASTER!$N$2,MASTER!E110="X"),"",IF(AND($Q$2&lt;&gt;D110,$Q$2&lt;&gt;E110,$Q$2&lt;&gt;F110,I110="2 to 10",J110=FALSE,K110=FALSE),B110,"")))))))), "")</f>
        <v/>
      </c>
      <c r="N110" s="44" t="str">
        <f ca="1">IFERROR(IF(AND(MASTER!$K$1=MASTER!$N$2,MASTER!K110="X"),"",IF(AND(MASTER!$J$1=MASTER!$N$2,MASTER!J110="X"),"",IF(AND(MASTER!$I$1=MASTER!$N$2,MASTER!I110="X"),"",IF(AND(MASTER!$H$1=MASTER!$N$2,MASTER!H110="X"),"",IF(AND(MASTER!$G$1=MASTER!$N$2,MASTER!G110="X"),"",IF(AND(MASTER!$F$1=MASTER!$N$2,MASTER!F110="X"),"",IF(AND(MASTER!$E$1=MASTER!$N$2,MASTER!E110="X"),"",IF(AND($Q$2&lt;&gt;D110,$Q$2&lt;&gt;E110,$Q$2&lt;&gt;F110,I110="10 to 6",J110=FALSE,K110=FALSE),B110,"")))))))), "")</f>
        <v/>
      </c>
    </row>
    <row r="111" spans="3:14" x14ac:dyDescent="0.2">
      <c r="C111"/>
      <c r="G111"/>
      <c r="J111"/>
      <c r="L111" s="30" t="str">
        <f ca="1">IFERROR(IF(AND(MASTER!$K$1=MASTER!$N$2,MASTER!K111="X"),"",IF(AND(MASTER!$J$1=MASTER!$N$2,MASTER!J111="X"),"",IF(AND(MASTER!$I$1=MASTER!$N$2,MASTER!I111="X"),"",IF(AND(MASTER!$H$1=MASTER!$N$2,MASTER!H111="X"),"",IF(AND(MASTER!$G$1=MASTER!$N$2,MASTER!G111="X"),"",IF(AND(MASTER!$F$1=MASTER!$N$2,MASTER!F111="X"),"",IF(AND(MASTER!$E$1=MASTER!$N$2,MASTER!E111="X"),"",IF(AND($Q$2&lt;&gt;D111,$Q$2&lt;&gt;E111,$Q$2&lt;&gt;F111,I111="6 to 2",J111=FALSE,K111=FALSE),B111,"")))))))), "")</f>
        <v/>
      </c>
      <c r="M111" s="34" t="str">
        <f ca="1">IFERROR(IF(AND(MASTER!$K$1=MASTER!$N$2,MASTER!K111="X"),"",IF(AND(MASTER!$J$1=MASTER!$N$2,MASTER!J111="X"),"",IF(AND(MASTER!$I$1=MASTER!$N$2,MASTER!I111="X"),"",IF(AND(MASTER!$H$1=MASTER!$N$2,MASTER!H111="X"),"",IF(AND(MASTER!$G$1=MASTER!$N$2,MASTER!G111="X"),"",IF(AND(MASTER!$F$1=MASTER!$N$2,MASTER!F111="X"),"",IF(AND(MASTER!$E$1=MASTER!$N$2,MASTER!E111="X"),"",IF(AND($Q$2&lt;&gt;D111,$Q$2&lt;&gt;E111,$Q$2&lt;&gt;F111,I111="2 to 10",J111=FALSE,K111=FALSE),B111,"")))))))), "")</f>
        <v/>
      </c>
      <c r="N111" s="44" t="str">
        <f ca="1">IFERROR(IF(AND(MASTER!$K$1=MASTER!$N$2,MASTER!K111="X"),"",IF(AND(MASTER!$J$1=MASTER!$N$2,MASTER!J111="X"),"",IF(AND(MASTER!$I$1=MASTER!$N$2,MASTER!I111="X"),"",IF(AND(MASTER!$H$1=MASTER!$N$2,MASTER!H111="X"),"",IF(AND(MASTER!$G$1=MASTER!$N$2,MASTER!G111="X"),"",IF(AND(MASTER!$F$1=MASTER!$N$2,MASTER!F111="X"),"",IF(AND(MASTER!$E$1=MASTER!$N$2,MASTER!E111="X"),"",IF(AND($Q$2&lt;&gt;D111,$Q$2&lt;&gt;E111,$Q$2&lt;&gt;F111,I111="10 to 6",J111=FALSE,K111=FALSE),B111,"")))))))), "")</f>
        <v/>
      </c>
    </row>
    <row r="112" spans="3:14" x14ac:dyDescent="0.2">
      <c r="C112"/>
      <c r="G112"/>
      <c r="J112"/>
      <c r="L112" s="30" t="str">
        <f ca="1">IFERROR(IF(AND(MASTER!$K$1=MASTER!$N$2,MASTER!K112="X"),"",IF(AND(MASTER!$J$1=MASTER!$N$2,MASTER!J112="X"),"",IF(AND(MASTER!$I$1=MASTER!$N$2,MASTER!I112="X"),"",IF(AND(MASTER!$H$1=MASTER!$N$2,MASTER!H112="X"),"",IF(AND(MASTER!$G$1=MASTER!$N$2,MASTER!G112="X"),"",IF(AND(MASTER!$F$1=MASTER!$N$2,MASTER!F112="X"),"",IF(AND(MASTER!$E$1=MASTER!$N$2,MASTER!E112="X"),"",IF(AND($Q$2&lt;&gt;D112,$Q$2&lt;&gt;E112,$Q$2&lt;&gt;F112,I112="6 to 2",J112=FALSE,K112=FALSE),B112,"")))))))), "")</f>
        <v/>
      </c>
      <c r="M112" s="34" t="str">
        <f ca="1">IFERROR(IF(AND(MASTER!$K$1=MASTER!$N$2,MASTER!K112="X"),"",IF(AND(MASTER!$J$1=MASTER!$N$2,MASTER!J112="X"),"",IF(AND(MASTER!$I$1=MASTER!$N$2,MASTER!I112="X"),"",IF(AND(MASTER!$H$1=MASTER!$N$2,MASTER!H112="X"),"",IF(AND(MASTER!$G$1=MASTER!$N$2,MASTER!G112="X"),"",IF(AND(MASTER!$F$1=MASTER!$N$2,MASTER!F112="X"),"",IF(AND(MASTER!$E$1=MASTER!$N$2,MASTER!E112="X"),"",IF(AND($Q$2&lt;&gt;D112,$Q$2&lt;&gt;E112,$Q$2&lt;&gt;F112,I112="2 to 10",J112=FALSE,K112=FALSE),B112,"")))))))), "")</f>
        <v/>
      </c>
      <c r="N112" s="44" t="str">
        <f ca="1">IFERROR(IF(AND(MASTER!$K$1=MASTER!$N$2,MASTER!K112="X"),"",IF(AND(MASTER!$J$1=MASTER!$N$2,MASTER!J112="X"),"",IF(AND(MASTER!$I$1=MASTER!$N$2,MASTER!I112="X"),"",IF(AND(MASTER!$H$1=MASTER!$N$2,MASTER!H112="X"),"",IF(AND(MASTER!$G$1=MASTER!$N$2,MASTER!G112="X"),"",IF(AND(MASTER!$F$1=MASTER!$N$2,MASTER!F112="X"),"",IF(AND(MASTER!$E$1=MASTER!$N$2,MASTER!E112="X"),"",IF(AND($Q$2&lt;&gt;D112,$Q$2&lt;&gt;E112,$Q$2&lt;&gt;F112,I112="10 to 6",J112=FALSE,K112=FALSE),B112,"")))))))), "")</f>
        <v/>
      </c>
    </row>
    <row r="113" spans="3:14" x14ac:dyDescent="0.2">
      <c r="C113"/>
      <c r="G113"/>
      <c r="J113"/>
      <c r="L113" s="30" t="str">
        <f ca="1">IFERROR(IF(AND(MASTER!$K$1=MASTER!$N$2,MASTER!K113="X"),"",IF(AND(MASTER!$J$1=MASTER!$N$2,MASTER!J113="X"),"",IF(AND(MASTER!$I$1=MASTER!$N$2,MASTER!I113="X"),"",IF(AND(MASTER!$H$1=MASTER!$N$2,MASTER!H113="X"),"",IF(AND(MASTER!$G$1=MASTER!$N$2,MASTER!G113="X"),"",IF(AND(MASTER!$F$1=MASTER!$N$2,MASTER!F113="X"),"",IF(AND(MASTER!$E$1=MASTER!$N$2,MASTER!E113="X"),"",IF(AND($Q$2&lt;&gt;D113,$Q$2&lt;&gt;E113,$Q$2&lt;&gt;F113,I113="6 to 2",J113=FALSE,K113=FALSE),B113,"")))))))), "")</f>
        <v/>
      </c>
      <c r="M113" s="34" t="str">
        <f ca="1">IFERROR(IF(AND(MASTER!$K$1=MASTER!$N$2,MASTER!K113="X"),"",IF(AND(MASTER!$J$1=MASTER!$N$2,MASTER!J113="X"),"",IF(AND(MASTER!$I$1=MASTER!$N$2,MASTER!I113="X"),"",IF(AND(MASTER!$H$1=MASTER!$N$2,MASTER!H113="X"),"",IF(AND(MASTER!$G$1=MASTER!$N$2,MASTER!G113="X"),"",IF(AND(MASTER!$F$1=MASTER!$N$2,MASTER!F113="X"),"",IF(AND(MASTER!$E$1=MASTER!$N$2,MASTER!E113="X"),"",IF(AND($Q$2&lt;&gt;D113,$Q$2&lt;&gt;E113,$Q$2&lt;&gt;F113,I113="2 to 10",J113=FALSE,K113=FALSE),B113,"")))))))), "")</f>
        <v/>
      </c>
      <c r="N113" s="44" t="str">
        <f ca="1">IFERROR(IF(AND(MASTER!$K$1=MASTER!$N$2,MASTER!K113="X"),"",IF(AND(MASTER!$J$1=MASTER!$N$2,MASTER!J113="X"),"",IF(AND(MASTER!$I$1=MASTER!$N$2,MASTER!I113="X"),"",IF(AND(MASTER!$H$1=MASTER!$N$2,MASTER!H113="X"),"",IF(AND(MASTER!$G$1=MASTER!$N$2,MASTER!G113="X"),"",IF(AND(MASTER!$F$1=MASTER!$N$2,MASTER!F113="X"),"",IF(AND(MASTER!$E$1=MASTER!$N$2,MASTER!E113="X"),"",IF(AND($Q$2&lt;&gt;D113,$Q$2&lt;&gt;E113,$Q$2&lt;&gt;F113,I113="10 to 6",J113=FALSE,K113=FALSE),B113,"")))))))), "")</f>
        <v/>
      </c>
    </row>
    <row r="114" spans="3:14" x14ac:dyDescent="0.2">
      <c r="C114"/>
      <c r="G114"/>
      <c r="J114"/>
      <c r="L114" s="30" t="str">
        <f ca="1">IFERROR(IF(AND(MASTER!$K$1=MASTER!$N$2,MASTER!K114="X"),"",IF(AND(MASTER!$J$1=MASTER!$N$2,MASTER!J114="X"),"",IF(AND(MASTER!$I$1=MASTER!$N$2,MASTER!I114="X"),"",IF(AND(MASTER!$H$1=MASTER!$N$2,MASTER!H114="X"),"",IF(AND(MASTER!$G$1=MASTER!$N$2,MASTER!G114="X"),"",IF(AND(MASTER!$F$1=MASTER!$N$2,MASTER!F114="X"),"",IF(AND(MASTER!$E$1=MASTER!$N$2,MASTER!E114="X"),"",IF(AND($Q$2&lt;&gt;D114,$Q$2&lt;&gt;E114,$Q$2&lt;&gt;F114,I114="6 to 2",J114=FALSE,K114=FALSE),B114,"")))))))), "")</f>
        <v/>
      </c>
      <c r="M114" s="34" t="str">
        <f ca="1">IFERROR(IF(AND(MASTER!$K$1=MASTER!$N$2,MASTER!K114="X"),"",IF(AND(MASTER!$J$1=MASTER!$N$2,MASTER!J114="X"),"",IF(AND(MASTER!$I$1=MASTER!$N$2,MASTER!I114="X"),"",IF(AND(MASTER!$H$1=MASTER!$N$2,MASTER!H114="X"),"",IF(AND(MASTER!$G$1=MASTER!$N$2,MASTER!G114="X"),"",IF(AND(MASTER!$F$1=MASTER!$N$2,MASTER!F114="X"),"",IF(AND(MASTER!$E$1=MASTER!$N$2,MASTER!E114="X"),"",IF(AND($Q$2&lt;&gt;D114,$Q$2&lt;&gt;E114,$Q$2&lt;&gt;F114,I114="2 to 10",J114=FALSE,K114=FALSE),B114,"")))))))), "")</f>
        <v/>
      </c>
      <c r="N114" s="44" t="str">
        <f ca="1">IFERROR(IF(AND(MASTER!$K$1=MASTER!$N$2,MASTER!K114="X"),"",IF(AND(MASTER!$J$1=MASTER!$N$2,MASTER!J114="X"),"",IF(AND(MASTER!$I$1=MASTER!$N$2,MASTER!I114="X"),"",IF(AND(MASTER!$H$1=MASTER!$N$2,MASTER!H114="X"),"",IF(AND(MASTER!$G$1=MASTER!$N$2,MASTER!G114="X"),"",IF(AND(MASTER!$F$1=MASTER!$N$2,MASTER!F114="X"),"",IF(AND(MASTER!$E$1=MASTER!$N$2,MASTER!E114="X"),"",IF(AND($Q$2&lt;&gt;D114,$Q$2&lt;&gt;E114,$Q$2&lt;&gt;F114,I114="10 to 6",J114=FALSE,K114=FALSE),B114,"")))))))), "")</f>
        <v/>
      </c>
    </row>
    <row r="115" spans="3:14" x14ac:dyDescent="0.2">
      <c r="C115"/>
      <c r="G115"/>
      <c r="J115"/>
      <c r="L115" s="30" t="str">
        <f ca="1">IFERROR(IF(AND(MASTER!$K$1=MASTER!$N$2,MASTER!K115="X"),"",IF(AND(MASTER!$J$1=MASTER!$N$2,MASTER!J115="X"),"",IF(AND(MASTER!$I$1=MASTER!$N$2,MASTER!I115="X"),"",IF(AND(MASTER!$H$1=MASTER!$N$2,MASTER!H115="X"),"",IF(AND(MASTER!$G$1=MASTER!$N$2,MASTER!G115="X"),"",IF(AND(MASTER!$F$1=MASTER!$N$2,MASTER!F115="X"),"",IF(AND(MASTER!$E$1=MASTER!$N$2,MASTER!E115="X"),"",IF(AND($Q$2&lt;&gt;D115,$Q$2&lt;&gt;E115,$Q$2&lt;&gt;F115,I115="6 to 2",J115=FALSE,K115=FALSE),B115,"")))))))), "")</f>
        <v/>
      </c>
      <c r="M115" s="34" t="str">
        <f ca="1">IFERROR(IF(AND(MASTER!$K$1=MASTER!$N$2,MASTER!K115="X"),"",IF(AND(MASTER!$J$1=MASTER!$N$2,MASTER!J115="X"),"",IF(AND(MASTER!$I$1=MASTER!$N$2,MASTER!I115="X"),"",IF(AND(MASTER!$H$1=MASTER!$N$2,MASTER!H115="X"),"",IF(AND(MASTER!$G$1=MASTER!$N$2,MASTER!G115="X"),"",IF(AND(MASTER!$F$1=MASTER!$N$2,MASTER!F115="X"),"",IF(AND(MASTER!$E$1=MASTER!$N$2,MASTER!E115="X"),"",IF(AND($Q$2&lt;&gt;D115,$Q$2&lt;&gt;E115,$Q$2&lt;&gt;F115,I115="2 to 10",J115=FALSE,K115=FALSE),B115,"")))))))), "")</f>
        <v/>
      </c>
      <c r="N115" s="44" t="str">
        <f ca="1">IFERROR(IF(AND(MASTER!$K$1=MASTER!$N$2,MASTER!K115="X"),"",IF(AND(MASTER!$J$1=MASTER!$N$2,MASTER!J115="X"),"",IF(AND(MASTER!$I$1=MASTER!$N$2,MASTER!I115="X"),"",IF(AND(MASTER!$H$1=MASTER!$N$2,MASTER!H115="X"),"",IF(AND(MASTER!$G$1=MASTER!$N$2,MASTER!G115="X"),"",IF(AND(MASTER!$F$1=MASTER!$N$2,MASTER!F115="X"),"",IF(AND(MASTER!$E$1=MASTER!$N$2,MASTER!E115="X"),"",IF(AND($Q$2&lt;&gt;D115,$Q$2&lt;&gt;E115,$Q$2&lt;&gt;F115,I115="10 to 6",J115=FALSE,K115=FALSE),B115,"")))))))), "")</f>
        <v/>
      </c>
    </row>
    <row r="116" spans="3:14" x14ac:dyDescent="0.2">
      <c r="C116"/>
      <c r="G116"/>
      <c r="J116"/>
      <c r="L116" s="30" t="str">
        <f ca="1">IFERROR(IF(AND(MASTER!$K$1=MASTER!$N$2,MASTER!K116="X"),"",IF(AND(MASTER!$J$1=MASTER!$N$2,MASTER!J116="X"),"",IF(AND(MASTER!$I$1=MASTER!$N$2,MASTER!I116="X"),"",IF(AND(MASTER!$H$1=MASTER!$N$2,MASTER!H116="X"),"",IF(AND(MASTER!$G$1=MASTER!$N$2,MASTER!G116="X"),"",IF(AND(MASTER!$F$1=MASTER!$N$2,MASTER!F116="X"),"",IF(AND(MASTER!$E$1=MASTER!$N$2,MASTER!E116="X"),"",IF(AND($Q$2&lt;&gt;D116,$Q$2&lt;&gt;E116,$Q$2&lt;&gt;F116,I116="6 to 2",J116=FALSE,K116=FALSE),B116,"")))))))), "")</f>
        <v/>
      </c>
      <c r="M116" s="34" t="str">
        <f ca="1">IFERROR(IF(AND(MASTER!$K$1=MASTER!$N$2,MASTER!K116="X"),"",IF(AND(MASTER!$J$1=MASTER!$N$2,MASTER!J116="X"),"",IF(AND(MASTER!$I$1=MASTER!$N$2,MASTER!I116="X"),"",IF(AND(MASTER!$H$1=MASTER!$N$2,MASTER!H116="X"),"",IF(AND(MASTER!$G$1=MASTER!$N$2,MASTER!G116="X"),"",IF(AND(MASTER!$F$1=MASTER!$N$2,MASTER!F116="X"),"",IF(AND(MASTER!$E$1=MASTER!$N$2,MASTER!E116="X"),"",IF(AND($Q$2&lt;&gt;D116,$Q$2&lt;&gt;E116,$Q$2&lt;&gt;F116,I116="2 to 10",J116=FALSE,K116=FALSE),B116,"")))))))), "")</f>
        <v/>
      </c>
      <c r="N116" s="44" t="str">
        <f ca="1">IFERROR(IF(AND(MASTER!$K$1=MASTER!$N$2,MASTER!K116="X"),"",IF(AND(MASTER!$J$1=MASTER!$N$2,MASTER!J116="X"),"",IF(AND(MASTER!$I$1=MASTER!$N$2,MASTER!I116="X"),"",IF(AND(MASTER!$H$1=MASTER!$N$2,MASTER!H116="X"),"",IF(AND(MASTER!$G$1=MASTER!$N$2,MASTER!G116="X"),"",IF(AND(MASTER!$F$1=MASTER!$N$2,MASTER!F116="X"),"",IF(AND(MASTER!$E$1=MASTER!$N$2,MASTER!E116="X"),"",IF(AND($Q$2&lt;&gt;D116,$Q$2&lt;&gt;E116,$Q$2&lt;&gt;F116,I116="10 to 6",J116=FALSE,K116=FALSE),B116,"")))))))), "")</f>
        <v/>
      </c>
    </row>
    <row r="117" spans="3:14" x14ac:dyDescent="0.2">
      <c r="C117"/>
      <c r="G117"/>
      <c r="J117"/>
      <c r="L117" s="30" t="str">
        <f ca="1">IFERROR(IF(AND(MASTER!$K$1=MASTER!$N$2,MASTER!K117="X"),"",IF(AND(MASTER!$J$1=MASTER!$N$2,MASTER!J117="X"),"",IF(AND(MASTER!$I$1=MASTER!$N$2,MASTER!I117="X"),"",IF(AND(MASTER!$H$1=MASTER!$N$2,MASTER!H117="X"),"",IF(AND(MASTER!$G$1=MASTER!$N$2,MASTER!G117="X"),"",IF(AND(MASTER!$F$1=MASTER!$N$2,MASTER!F117="X"),"",IF(AND(MASTER!$E$1=MASTER!$N$2,MASTER!E117="X"),"",IF(AND($Q$2&lt;&gt;D117,$Q$2&lt;&gt;E117,$Q$2&lt;&gt;F117,I117="6 to 2",J117=FALSE,K117=FALSE),B117,"")))))))), "")</f>
        <v/>
      </c>
      <c r="M117" s="34" t="str">
        <f ca="1">IFERROR(IF(AND(MASTER!$K$1=MASTER!$N$2,MASTER!K117="X"),"",IF(AND(MASTER!$J$1=MASTER!$N$2,MASTER!J117="X"),"",IF(AND(MASTER!$I$1=MASTER!$N$2,MASTER!I117="X"),"",IF(AND(MASTER!$H$1=MASTER!$N$2,MASTER!H117="X"),"",IF(AND(MASTER!$G$1=MASTER!$N$2,MASTER!G117="X"),"",IF(AND(MASTER!$F$1=MASTER!$N$2,MASTER!F117="X"),"",IF(AND(MASTER!$E$1=MASTER!$N$2,MASTER!E117="X"),"",IF(AND($Q$2&lt;&gt;D117,$Q$2&lt;&gt;E117,$Q$2&lt;&gt;F117,I117="2 to 10",J117=FALSE,K117=FALSE),B117,"")))))))), "")</f>
        <v/>
      </c>
      <c r="N117" s="44" t="str">
        <f ca="1">IFERROR(IF(AND(MASTER!$K$1=MASTER!$N$2,MASTER!K117="X"),"",IF(AND(MASTER!$J$1=MASTER!$N$2,MASTER!J117="X"),"",IF(AND(MASTER!$I$1=MASTER!$N$2,MASTER!I117="X"),"",IF(AND(MASTER!$H$1=MASTER!$N$2,MASTER!H117="X"),"",IF(AND(MASTER!$G$1=MASTER!$N$2,MASTER!G117="X"),"",IF(AND(MASTER!$F$1=MASTER!$N$2,MASTER!F117="X"),"",IF(AND(MASTER!$E$1=MASTER!$N$2,MASTER!E117="X"),"",IF(AND($Q$2&lt;&gt;D117,$Q$2&lt;&gt;E117,$Q$2&lt;&gt;F117,I117="10 to 6",J117=FALSE,K117=FALSE),B117,"")))))))), "")</f>
        <v/>
      </c>
    </row>
    <row r="118" spans="3:14" x14ac:dyDescent="0.2">
      <c r="C118"/>
      <c r="G118"/>
      <c r="J118"/>
      <c r="L118" s="30" t="str">
        <f ca="1">IFERROR(IF(AND(MASTER!$K$1=MASTER!$N$2,MASTER!K118="X"),"",IF(AND(MASTER!$J$1=MASTER!$N$2,MASTER!J118="X"),"",IF(AND(MASTER!$I$1=MASTER!$N$2,MASTER!I118="X"),"",IF(AND(MASTER!$H$1=MASTER!$N$2,MASTER!H118="X"),"",IF(AND(MASTER!$G$1=MASTER!$N$2,MASTER!G118="X"),"",IF(AND(MASTER!$F$1=MASTER!$N$2,MASTER!F118="X"),"",IF(AND(MASTER!$E$1=MASTER!$N$2,MASTER!E118="X"),"",IF(AND($Q$2&lt;&gt;D118,$Q$2&lt;&gt;E118,$Q$2&lt;&gt;F118,I118="6 to 2",J118=FALSE,K118=FALSE),B118,"")))))))), "")</f>
        <v/>
      </c>
      <c r="M118" s="34" t="str">
        <f ca="1">IFERROR(IF(AND(MASTER!$K$1=MASTER!$N$2,MASTER!K118="X"),"",IF(AND(MASTER!$J$1=MASTER!$N$2,MASTER!J118="X"),"",IF(AND(MASTER!$I$1=MASTER!$N$2,MASTER!I118="X"),"",IF(AND(MASTER!$H$1=MASTER!$N$2,MASTER!H118="X"),"",IF(AND(MASTER!$G$1=MASTER!$N$2,MASTER!G118="X"),"",IF(AND(MASTER!$F$1=MASTER!$N$2,MASTER!F118="X"),"",IF(AND(MASTER!$E$1=MASTER!$N$2,MASTER!E118="X"),"",IF(AND($Q$2&lt;&gt;D118,$Q$2&lt;&gt;E118,$Q$2&lt;&gt;F118,I118="2 to 10",J118=FALSE,K118=FALSE),B118,"")))))))), "")</f>
        <v/>
      </c>
      <c r="N118" s="44" t="str">
        <f ca="1">IFERROR(IF(AND(MASTER!$K$1=MASTER!$N$2,MASTER!K118="X"),"",IF(AND(MASTER!$J$1=MASTER!$N$2,MASTER!J118="X"),"",IF(AND(MASTER!$I$1=MASTER!$N$2,MASTER!I118="X"),"",IF(AND(MASTER!$H$1=MASTER!$N$2,MASTER!H118="X"),"",IF(AND(MASTER!$G$1=MASTER!$N$2,MASTER!G118="X"),"",IF(AND(MASTER!$F$1=MASTER!$N$2,MASTER!F118="X"),"",IF(AND(MASTER!$E$1=MASTER!$N$2,MASTER!E118="X"),"",IF(AND($Q$2&lt;&gt;D118,$Q$2&lt;&gt;E118,$Q$2&lt;&gt;F118,I118="10 to 6",J118=FALSE,K118=FALSE),B118,"")))))))), "")</f>
        <v/>
      </c>
    </row>
    <row r="119" spans="3:14" x14ac:dyDescent="0.2">
      <c r="C119"/>
      <c r="G119"/>
      <c r="J119"/>
      <c r="L119" s="30" t="str">
        <f ca="1">IFERROR(IF(AND(MASTER!$K$1=MASTER!$N$2,MASTER!K119="X"),"",IF(AND(MASTER!$J$1=MASTER!$N$2,MASTER!J119="X"),"",IF(AND(MASTER!$I$1=MASTER!$N$2,MASTER!I119="X"),"",IF(AND(MASTER!$H$1=MASTER!$N$2,MASTER!H119="X"),"",IF(AND(MASTER!$G$1=MASTER!$N$2,MASTER!G119="X"),"",IF(AND(MASTER!$F$1=MASTER!$N$2,MASTER!F119="X"),"",IF(AND(MASTER!$E$1=MASTER!$N$2,MASTER!E119="X"),"",IF(AND($Q$2&lt;&gt;D119,$Q$2&lt;&gt;E119,$Q$2&lt;&gt;F119,I119="6 to 2",J119=FALSE,K119=FALSE),B119,"")))))))), "")</f>
        <v/>
      </c>
      <c r="M119" s="34" t="str">
        <f ca="1">IFERROR(IF(AND(MASTER!$K$1=MASTER!$N$2,MASTER!K119="X"),"",IF(AND(MASTER!$J$1=MASTER!$N$2,MASTER!J119="X"),"",IF(AND(MASTER!$I$1=MASTER!$N$2,MASTER!I119="X"),"",IF(AND(MASTER!$H$1=MASTER!$N$2,MASTER!H119="X"),"",IF(AND(MASTER!$G$1=MASTER!$N$2,MASTER!G119="X"),"",IF(AND(MASTER!$F$1=MASTER!$N$2,MASTER!F119="X"),"",IF(AND(MASTER!$E$1=MASTER!$N$2,MASTER!E119="X"),"",IF(AND($Q$2&lt;&gt;D119,$Q$2&lt;&gt;E119,$Q$2&lt;&gt;F119,I119="2 to 10",J119=FALSE,K119=FALSE),B119,"")))))))), "")</f>
        <v/>
      </c>
      <c r="N119" s="44" t="str">
        <f ca="1">IFERROR(IF(AND(MASTER!$K$1=MASTER!$N$2,MASTER!K119="X"),"",IF(AND(MASTER!$J$1=MASTER!$N$2,MASTER!J119="X"),"",IF(AND(MASTER!$I$1=MASTER!$N$2,MASTER!I119="X"),"",IF(AND(MASTER!$H$1=MASTER!$N$2,MASTER!H119="X"),"",IF(AND(MASTER!$G$1=MASTER!$N$2,MASTER!G119="X"),"",IF(AND(MASTER!$F$1=MASTER!$N$2,MASTER!F119="X"),"",IF(AND(MASTER!$E$1=MASTER!$N$2,MASTER!E119="X"),"",IF(AND($Q$2&lt;&gt;D119,$Q$2&lt;&gt;E119,$Q$2&lt;&gt;F119,I119="10 to 6",J119=FALSE,K119=FALSE),B119,"")))))))), "")</f>
        <v/>
      </c>
    </row>
    <row r="120" spans="3:14" x14ac:dyDescent="0.2">
      <c r="C120"/>
      <c r="G120"/>
      <c r="J120"/>
      <c r="L120" s="30" t="str">
        <f ca="1">IFERROR(IF(AND(MASTER!$K$1=MASTER!$N$2,MASTER!K120="X"),"",IF(AND(MASTER!$J$1=MASTER!$N$2,MASTER!J120="X"),"",IF(AND(MASTER!$I$1=MASTER!$N$2,MASTER!I120="X"),"",IF(AND(MASTER!$H$1=MASTER!$N$2,MASTER!H120="X"),"",IF(AND(MASTER!$G$1=MASTER!$N$2,MASTER!G120="X"),"",IF(AND(MASTER!$F$1=MASTER!$N$2,MASTER!F120="X"),"",IF(AND(MASTER!$E$1=MASTER!$N$2,MASTER!E120="X"),"",IF(AND($Q$2&lt;&gt;D120,$Q$2&lt;&gt;E120,$Q$2&lt;&gt;F120,I120="6 to 2",J120=FALSE,K120=FALSE),B120,"")))))))), "")</f>
        <v/>
      </c>
      <c r="M120" s="34" t="str">
        <f ca="1">IFERROR(IF(AND(MASTER!$K$1=MASTER!$N$2,MASTER!K120="X"),"",IF(AND(MASTER!$J$1=MASTER!$N$2,MASTER!J120="X"),"",IF(AND(MASTER!$I$1=MASTER!$N$2,MASTER!I120="X"),"",IF(AND(MASTER!$H$1=MASTER!$N$2,MASTER!H120="X"),"",IF(AND(MASTER!$G$1=MASTER!$N$2,MASTER!G120="X"),"",IF(AND(MASTER!$F$1=MASTER!$N$2,MASTER!F120="X"),"",IF(AND(MASTER!$E$1=MASTER!$N$2,MASTER!E120="X"),"",IF(AND($Q$2&lt;&gt;D120,$Q$2&lt;&gt;E120,$Q$2&lt;&gt;F120,I120="2 to 10",J120=FALSE,K120=FALSE),B120,"")))))))), "")</f>
        <v/>
      </c>
      <c r="N120" s="44" t="str">
        <f ca="1">IFERROR(IF(AND(MASTER!$K$1=MASTER!$N$2,MASTER!K120="X"),"",IF(AND(MASTER!$J$1=MASTER!$N$2,MASTER!J120="X"),"",IF(AND(MASTER!$I$1=MASTER!$N$2,MASTER!I120="X"),"",IF(AND(MASTER!$H$1=MASTER!$N$2,MASTER!H120="X"),"",IF(AND(MASTER!$G$1=MASTER!$N$2,MASTER!G120="X"),"",IF(AND(MASTER!$F$1=MASTER!$N$2,MASTER!F120="X"),"",IF(AND(MASTER!$E$1=MASTER!$N$2,MASTER!E120="X"),"",IF(AND($Q$2&lt;&gt;D120,$Q$2&lt;&gt;E120,$Q$2&lt;&gt;F120,I120="10 to 6",J120=FALSE,K120=FALSE),B120,"")))))))), "")</f>
        <v/>
      </c>
    </row>
    <row r="121" spans="3:14" x14ac:dyDescent="0.2">
      <c r="C121"/>
      <c r="G121"/>
      <c r="J121"/>
      <c r="L121" s="30" t="str">
        <f ca="1">IFERROR(IF(AND(MASTER!$K$1=MASTER!$N$2,MASTER!K121="X"),"",IF(AND(MASTER!$J$1=MASTER!$N$2,MASTER!J121="X"),"",IF(AND(MASTER!$I$1=MASTER!$N$2,MASTER!I121="X"),"",IF(AND(MASTER!$H$1=MASTER!$N$2,MASTER!H121="X"),"",IF(AND(MASTER!$G$1=MASTER!$N$2,MASTER!G121="X"),"",IF(AND(MASTER!$F$1=MASTER!$N$2,MASTER!F121="X"),"",IF(AND(MASTER!$E$1=MASTER!$N$2,MASTER!E121="X"),"",IF(AND($Q$2&lt;&gt;D121,$Q$2&lt;&gt;E121,$Q$2&lt;&gt;F121,I121="6 to 2",J121=FALSE,K121=FALSE),B121,"")))))))), "")</f>
        <v/>
      </c>
      <c r="M121" s="34" t="str">
        <f ca="1">IFERROR(IF(AND(MASTER!$K$1=MASTER!$N$2,MASTER!K121="X"),"",IF(AND(MASTER!$J$1=MASTER!$N$2,MASTER!J121="X"),"",IF(AND(MASTER!$I$1=MASTER!$N$2,MASTER!I121="X"),"",IF(AND(MASTER!$H$1=MASTER!$N$2,MASTER!H121="X"),"",IF(AND(MASTER!$G$1=MASTER!$N$2,MASTER!G121="X"),"",IF(AND(MASTER!$F$1=MASTER!$N$2,MASTER!F121="X"),"",IF(AND(MASTER!$E$1=MASTER!$N$2,MASTER!E121="X"),"",IF(AND($Q$2&lt;&gt;D121,$Q$2&lt;&gt;E121,$Q$2&lt;&gt;F121,I121="2 to 10",J121=FALSE,K121=FALSE),B121,"")))))))), "")</f>
        <v/>
      </c>
      <c r="N121" s="44" t="str">
        <f ca="1">IFERROR(IF(AND(MASTER!$K$1=MASTER!$N$2,MASTER!K121="X"),"",IF(AND(MASTER!$J$1=MASTER!$N$2,MASTER!J121="X"),"",IF(AND(MASTER!$I$1=MASTER!$N$2,MASTER!I121="X"),"",IF(AND(MASTER!$H$1=MASTER!$N$2,MASTER!H121="X"),"",IF(AND(MASTER!$G$1=MASTER!$N$2,MASTER!G121="X"),"",IF(AND(MASTER!$F$1=MASTER!$N$2,MASTER!F121="X"),"",IF(AND(MASTER!$E$1=MASTER!$N$2,MASTER!E121="X"),"",IF(AND($Q$2&lt;&gt;D121,$Q$2&lt;&gt;E121,$Q$2&lt;&gt;F121,I121="10 to 6",J121=FALSE,K121=FALSE),B121,"")))))))), "")</f>
        <v/>
      </c>
    </row>
    <row r="122" spans="3:14" x14ac:dyDescent="0.2">
      <c r="C122"/>
      <c r="G122"/>
      <c r="J122"/>
      <c r="L122" s="30" t="str">
        <f ca="1">IFERROR(IF(AND(MASTER!$K$1=MASTER!$N$2,MASTER!K122="X"),"",IF(AND(MASTER!$J$1=MASTER!$N$2,MASTER!J122="X"),"",IF(AND(MASTER!$I$1=MASTER!$N$2,MASTER!I122="X"),"",IF(AND(MASTER!$H$1=MASTER!$N$2,MASTER!H122="X"),"",IF(AND(MASTER!$G$1=MASTER!$N$2,MASTER!G122="X"),"",IF(AND(MASTER!$F$1=MASTER!$N$2,MASTER!F122="X"),"",IF(AND(MASTER!$E$1=MASTER!$N$2,MASTER!E122="X"),"",IF(AND($Q$2&lt;&gt;D122,$Q$2&lt;&gt;E122,$Q$2&lt;&gt;F122,I122="6 to 2",J122=FALSE,K122=FALSE),B122,"")))))))), "")</f>
        <v/>
      </c>
      <c r="M122" s="34" t="str">
        <f ca="1">IFERROR(IF(AND(MASTER!$K$1=MASTER!$N$2,MASTER!K122="X"),"",IF(AND(MASTER!$J$1=MASTER!$N$2,MASTER!J122="X"),"",IF(AND(MASTER!$I$1=MASTER!$N$2,MASTER!I122="X"),"",IF(AND(MASTER!$H$1=MASTER!$N$2,MASTER!H122="X"),"",IF(AND(MASTER!$G$1=MASTER!$N$2,MASTER!G122="X"),"",IF(AND(MASTER!$F$1=MASTER!$N$2,MASTER!F122="X"),"",IF(AND(MASTER!$E$1=MASTER!$N$2,MASTER!E122="X"),"",IF(AND($Q$2&lt;&gt;D122,$Q$2&lt;&gt;E122,$Q$2&lt;&gt;F122,I122="2 to 10",J122=FALSE,K122=FALSE),B122,"")))))))), "")</f>
        <v/>
      </c>
      <c r="N122" s="44" t="str">
        <f ca="1">IFERROR(IF(AND(MASTER!$K$1=MASTER!$N$2,MASTER!K122="X"),"",IF(AND(MASTER!$J$1=MASTER!$N$2,MASTER!J122="X"),"",IF(AND(MASTER!$I$1=MASTER!$N$2,MASTER!I122="X"),"",IF(AND(MASTER!$H$1=MASTER!$N$2,MASTER!H122="X"),"",IF(AND(MASTER!$G$1=MASTER!$N$2,MASTER!G122="X"),"",IF(AND(MASTER!$F$1=MASTER!$N$2,MASTER!F122="X"),"",IF(AND(MASTER!$E$1=MASTER!$N$2,MASTER!E122="X"),"",IF(AND($Q$2&lt;&gt;D122,$Q$2&lt;&gt;E122,$Q$2&lt;&gt;F122,I122="10 to 6",J122=FALSE,K122=FALSE),B122,"")))))))), "")</f>
        <v/>
      </c>
    </row>
    <row r="123" spans="3:14" x14ac:dyDescent="0.2">
      <c r="C123"/>
      <c r="G123"/>
      <c r="J123"/>
      <c r="L123" s="30" t="str">
        <f ca="1">IFERROR(IF(AND(MASTER!$K$1=MASTER!$N$2,MASTER!K123="X"),"",IF(AND(MASTER!$J$1=MASTER!$N$2,MASTER!J123="X"),"",IF(AND(MASTER!$I$1=MASTER!$N$2,MASTER!I123="X"),"",IF(AND(MASTER!$H$1=MASTER!$N$2,MASTER!H123="X"),"",IF(AND(MASTER!$G$1=MASTER!$N$2,MASTER!G123="X"),"",IF(AND(MASTER!$F$1=MASTER!$N$2,MASTER!F123="X"),"",IF(AND(MASTER!$E$1=MASTER!$N$2,MASTER!E123="X"),"",IF(AND($Q$2&lt;&gt;D123,$Q$2&lt;&gt;E123,$Q$2&lt;&gt;F123,I123="6 to 2",J123=FALSE,K123=FALSE),B123,"")))))))), "")</f>
        <v/>
      </c>
      <c r="M123" s="34" t="str">
        <f ca="1">IFERROR(IF(AND(MASTER!$K$1=MASTER!$N$2,MASTER!K123="X"),"",IF(AND(MASTER!$J$1=MASTER!$N$2,MASTER!J123="X"),"",IF(AND(MASTER!$I$1=MASTER!$N$2,MASTER!I123="X"),"",IF(AND(MASTER!$H$1=MASTER!$N$2,MASTER!H123="X"),"",IF(AND(MASTER!$G$1=MASTER!$N$2,MASTER!G123="X"),"",IF(AND(MASTER!$F$1=MASTER!$N$2,MASTER!F123="X"),"",IF(AND(MASTER!$E$1=MASTER!$N$2,MASTER!E123="X"),"",IF(AND($Q$2&lt;&gt;D123,$Q$2&lt;&gt;E123,$Q$2&lt;&gt;F123,I123="2 to 10",J123=FALSE,K123=FALSE),B123,"")))))))), "")</f>
        <v/>
      </c>
      <c r="N123" s="44" t="str">
        <f ca="1">IFERROR(IF(AND(MASTER!$K$1=MASTER!$N$2,MASTER!K123="X"),"",IF(AND(MASTER!$J$1=MASTER!$N$2,MASTER!J123="X"),"",IF(AND(MASTER!$I$1=MASTER!$N$2,MASTER!I123="X"),"",IF(AND(MASTER!$H$1=MASTER!$N$2,MASTER!H123="X"),"",IF(AND(MASTER!$G$1=MASTER!$N$2,MASTER!G123="X"),"",IF(AND(MASTER!$F$1=MASTER!$N$2,MASTER!F123="X"),"",IF(AND(MASTER!$E$1=MASTER!$N$2,MASTER!E123="X"),"",IF(AND($Q$2&lt;&gt;D123,$Q$2&lt;&gt;E123,$Q$2&lt;&gt;F123,I123="10 to 6",J123=FALSE,K123=FALSE),B123,"")))))))), "")</f>
        <v/>
      </c>
    </row>
    <row r="124" spans="3:14" x14ac:dyDescent="0.2">
      <c r="C124"/>
      <c r="G124"/>
      <c r="J124"/>
      <c r="L124" s="30" t="str">
        <f ca="1">IFERROR(IF(AND(MASTER!$K$1=MASTER!$N$2,MASTER!K124="X"),"",IF(AND(MASTER!$J$1=MASTER!$N$2,MASTER!J124="X"),"",IF(AND(MASTER!$I$1=MASTER!$N$2,MASTER!I124="X"),"",IF(AND(MASTER!$H$1=MASTER!$N$2,MASTER!H124="X"),"",IF(AND(MASTER!$G$1=MASTER!$N$2,MASTER!G124="X"),"",IF(AND(MASTER!$F$1=MASTER!$N$2,MASTER!F124="X"),"",IF(AND(MASTER!$E$1=MASTER!$N$2,MASTER!E124="X"),"",IF(AND($Q$2&lt;&gt;D124,$Q$2&lt;&gt;E124,$Q$2&lt;&gt;F124,I124="6 to 2",J124=FALSE,K124=FALSE),B124,"")))))))), "")</f>
        <v/>
      </c>
      <c r="M124" s="34" t="str">
        <f ca="1">IFERROR(IF(AND(MASTER!$K$1=MASTER!$N$2,MASTER!K124="X"),"",IF(AND(MASTER!$J$1=MASTER!$N$2,MASTER!J124="X"),"",IF(AND(MASTER!$I$1=MASTER!$N$2,MASTER!I124="X"),"",IF(AND(MASTER!$H$1=MASTER!$N$2,MASTER!H124="X"),"",IF(AND(MASTER!$G$1=MASTER!$N$2,MASTER!G124="X"),"",IF(AND(MASTER!$F$1=MASTER!$N$2,MASTER!F124="X"),"",IF(AND(MASTER!$E$1=MASTER!$N$2,MASTER!E124="X"),"",IF(AND($Q$2&lt;&gt;D124,$Q$2&lt;&gt;E124,$Q$2&lt;&gt;F124,I124="2 to 10",J124=FALSE,K124=FALSE),B124,"")))))))), "")</f>
        <v/>
      </c>
      <c r="N124" s="44" t="str">
        <f ca="1">IFERROR(IF(AND(MASTER!$K$1=MASTER!$N$2,MASTER!K124="X"),"",IF(AND(MASTER!$J$1=MASTER!$N$2,MASTER!J124="X"),"",IF(AND(MASTER!$I$1=MASTER!$N$2,MASTER!I124="X"),"",IF(AND(MASTER!$H$1=MASTER!$N$2,MASTER!H124="X"),"",IF(AND(MASTER!$G$1=MASTER!$N$2,MASTER!G124="X"),"",IF(AND(MASTER!$F$1=MASTER!$N$2,MASTER!F124="X"),"",IF(AND(MASTER!$E$1=MASTER!$N$2,MASTER!E124="X"),"",IF(AND($Q$2&lt;&gt;D124,$Q$2&lt;&gt;E124,$Q$2&lt;&gt;F124,I124="10 to 6",J124=FALSE,K124=FALSE),B124,"")))))))), "")</f>
        <v/>
      </c>
    </row>
    <row r="125" spans="3:14" x14ac:dyDescent="0.2">
      <c r="C125"/>
      <c r="G125"/>
      <c r="J125"/>
      <c r="L125" s="30" t="str">
        <f ca="1">IFERROR(IF(AND(MASTER!$K$1=MASTER!$N$2,MASTER!K125="X"),"",IF(AND(MASTER!$J$1=MASTER!$N$2,MASTER!J125="X"),"",IF(AND(MASTER!$I$1=MASTER!$N$2,MASTER!I125="X"),"",IF(AND(MASTER!$H$1=MASTER!$N$2,MASTER!H125="X"),"",IF(AND(MASTER!$G$1=MASTER!$N$2,MASTER!G125="X"),"",IF(AND(MASTER!$F$1=MASTER!$N$2,MASTER!F125="X"),"",IF(AND(MASTER!$E$1=MASTER!$N$2,MASTER!E125="X"),"",IF(AND($Q$2&lt;&gt;D125,$Q$2&lt;&gt;E125,$Q$2&lt;&gt;F125,I125="6 to 2",J125=FALSE,K125=FALSE),B125,"")))))))), "")</f>
        <v/>
      </c>
      <c r="M125" s="34" t="str">
        <f ca="1">IFERROR(IF(AND(MASTER!$K$1=MASTER!$N$2,MASTER!K125="X"),"",IF(AND(MASTER!$J$1=MASTER!$N$2,MASTER!J125="X"),"",IF(AND(MASTER!$I$1=MASTER!$N$2,MASTER!I125="X"),"",IF(AND(MASTER!$H$1=MASTER!$N$2,MASTER!H125="X"),"",IF(AND(MASTER!$G$1=MASTER!$N$2,MASTER!G125="X"),"",IF(AND(MASTER!$F$1=MASTER!$N$2,MASTER!F125="X"),"",IF(AND(MASTER!$E$1=MASTER!$N$2,MASTER!E125="X"),"",IF(AND($Q$2&lt;&gt;D125,$Q$2&lt;&gt;E125,$Q$2&lt;&gt;F125,I125="2 to 10",J125=FALSE,K125=FALSE),B125,"")))))))), "")</f>
        <v/>
      </c>
      <c r="N125" s="44" t="str">
        <f ca="1">IFERROR(IF(AND(MASTER!$K$1=MASTER!$N$2,MASTER!K125="X"),"",IF(AND(MASTER!$J$1=MASTER!$N$2,MASTER!J125="X"),"",IF(AND(MASTER!$I$1=MASTER!$N$2,MASTER!I125="X"),"",IF(AND(MASTER!$H$1=MASTER!$N$2,MASTER!H125="X"),"",IF(AND(MASTER!$G$1=MASTER!$N$2,MASTER!G125="X"),"",IF(AND(MASTER!$F$1=MASTER!$N$2,MASTER!F125="X"),"",IF(AND(MASTER!$E$1=MASTER!$N$2,MASTER!E125="X"),"",IF(AND($Q$2&lt;&gt;D125,$Q$2&lt;&gt;E125,$Q$2&lt;&gt;F125,I125="10 to 6",J125=FALSE,K125=FALSE),B125,"")))))))), "")</f>
        <v/>
      </c>
    </row>
    <row r="126" spans="3:14" x14ac:dyDescent="0.2">
      <c r="C126"/>
      <c r="G126"/>
      <c r="J126"/>
      <c r="L126" s="30" t="str">
        <f ca="1">IFERROR(IF(AND(MASTER!$K$1=MASTER!$N$2,MASTER!K126="X"),"",IF(AND(MASTER!$J$1=MASTER!$N$2,MASTER!J126="X"),"",IF(AND(MASTER!$I$1=MASTER!$N$2,MASTER!I126="X"),"",IF(AND(MASTER!$H$1=MASTER!$N$2,MASTER!H126="X"),"",IF(AND(MASTER!$G$1=MASTER!$N$2,MASTER!G126="X"),"",IF(AND(MASTER!$F$1=MASTER!$N$2,MASTER!F126="X"),"",IF(AND(MASTER!$E$1=MASTER!$N$2,MASTER!E126="X"),"",IF(AND($Q$2&lt;&gt;D126,$Q$2&lt;&gt;E126,$Q$2&lt;&gt;F126,I126="6 to 2",J126=FALSE,K126=FALSE),B126,"")))))))), "")</f>
        <v/>
      </c>
      <c r="M126" s="34" t="str">
        <f ca="1">IFERROR(IF(AND(MASTER!$K$1=MASTER!$N$2,MASTER!K126="X"),"",IF(AND(MASTER!$J$1=MASTER!$N$2,MASTER!J126="X"),"",IF(AND(MASTER!$I$1=MASTER!$N$2,MASTER!I126="X"),"",IF(AND(MASTER!$H$1=MASTER!$N$2,MASTER!H126="X"),"",IF(AND(MASTER!$G$1=MASTER!$N$2,MASTER!G126="X"),"",IF(AND(MASTER!$F$1=MASTER!$N$2,MASTER!F126="X"),"",IF(AND(MASTER!$E$1=MASTER!$N$2,MASTER!E126="X"),"",IF(AND($Q$2&lt;&gt;D126,$Q$2&lt;&gt;E126,$Q$2&lt;&gt;F126,I126="2 to 10",J126=FALSE,K126=FALSE),B126,"")))))))), "")</f>
        <v/>
      </c>
      <c r="N126" s="44" t="str">
        <f ca="1">IFERROR(IF(AND(MASTER!$K$1=MASTER!$N$2,MASTER!K126="X"),"",IF(AND(MASTER!$J$1=MASTER!$N$2,MASTER!J126="X"),"",IF(AND(MASTER!$I$1=MASTER!$N$2,MASTER!I126="X"),"",IF(AND(MASTER!$H$1=MASTER!$N$2,MASTER!H126="X"),"",IF(AND(MASTER!$G$1=MASTER!$N$2,MASTER!G126="X"),"",IF(AND(MASTER!$F$1=MASTER!$N$2,MASTER!F126="X"),"",IF(AND(MASTER!$E$1=MASTER!$N$2,MASTER!E126="X"),"",IF(AND($Q$2&lt;&gt;D126,$Q$2&lt;&gt;E126,$Q$2&lt;&gt;F126,I126="10 to 6",J126=FALSE,K126=FALSE),B126,"")))))))), "")</f>
        <v/>
      </c>
    </row>
    <row r="127" spans="3:14" x14ac:dyDescent="0.2">
      <c r="C127"/>
      <c r="G127"/>
      <c r="J127"/>
      <c r="L127" s="30" t="str">
        <f ca="1">IFERROR(IF(AND(MASTER!$K$1=MASTER!$N$2,MASTER!K127="X"),"",IF(AND(MASTER!$J$1=MASTER!$N$2,MASTER!J127="X"),"",IF(AND(MASTER!$I$1=MASTER!$N$2,MASTER!I127="X"),"",IF(AND(MASTER!$H$1=MASTER!$N$2,MASTER!H127="X"),"",IF(AND(MASTER!$G$1=MASTER!$N$2,MASTER!G127="X"),"",IF(AND(MASTER!$F$1=MASTER!$N$2,MASTER!F127="X"),"",IF(AND(MASTER!$E$1=MASTER!$N$2,MASTER!E127="X"),"",IF(AND($Q$2&lt;&gt;D127,$Q$2&lt;&gt;E127,$Q$2&lt;&gt;F127,I127="6 to 2",J127=FALSE,K127=FALSE),B127,"")))))))), "")</f>
        <v/>
      </c>
      <c r="M127" s="34" t="str">
        <f ca="1">IFERROR(IF(AND(MASTER!$K$1=MASTER!$N$2,MASTER!K127="X"),"",IF(AND(MASTER!$J$1=MASTER!$N$2,MASTER!J127="X"),"",IF(AND(MASTER!$I$1=MASTER!$N$2,MASTER!I127="X"),"",IF(AND(MASTER!$H$1=MASTER!$N$2,MASTER!H127="X"),"",IF(AND(MASTER!$G$1=MASTER!$N$2,MASTER!G127="X"),"",IF(AND(MASTER!$F$1=MASTER!$N$2,MASTER!F127="X"),"",IF(AND(MASTER!$E$1=MASTER!$N$2,MASTER!E127="X"),"",IF(AND($Q$2&lt;&gt;D127,$Q$2&lt;&gt;E127,$Q$2&lt;&gt;F127,I127="2 to 10",J127=FALSE,K127=FALSE),B127,"")))))))), "")</f>
        <v/>
      </c>
      <c r="N127" s="44" t="str">
        <f ca="1">IFERROR(IF(AND(MASTER!$K$1=MASTER!$N$2,MASTER!K127="X"),"",IF(AND(MASTER!$J$1=MASTER!$N$2,MASTER!J127="X"),"",IF(AND(MASTER!$I$1=MASTER!$N$2,MASTER!I127="X"),"",IF(AND(MASTER!$H$1=MASTER!$N$2,MASTER!H127="X"),"",IF(AND(MASTER!$G$1=MASTER!$N$2,MASTER!G127="X"),"",IF(AND(MASTER!$F$1=MASTER!$N$2,MASTER!F127="X"),"",IF(AND(MASTER!$E$1=MASTER!$N$2,MASTER!E127="X"),"",IF(AND($Q$2&lt;&gt;D127,$Q$2&lt;&gt;E127,$Q$2&lt;&gt;F127,I127="10 to 6",J127=FALSE,K127=FALSE),B127,"")))))))), "")</f>
        <v/>
      </c>
    </row>
    <row r="128" spans="3:14" x14ac:dyDescent="0.2">
      <c r="C128"/>
      <c r="G128"/>
      <c r="J128"/>
      <c r="L128" s="30" t="str">
        <f ca="1">IFERROR(IF(AND(MASTER!$K$1=MASTER!$N$2,MASTER!K128="X"),"",IF(AND(MASTER!$J$1=MASTER!$N$2,MASTER!J128="X"),"",IF(AND(MASTER!$I$1=MASTER!$N$2,MASTER!I128="X"),"",IF(AND(MASTER!$H$1=MASTER!$N$2,MASTER!H128="X"),"",IF(AND(MASTER!$G$1=MASTER!$N$2,MASTER!G128="X"),"",IF(AND(MASTER!$F$1=MASTER!$N$2,MASTER!F128="X"),"",IF(AND(MASTER!$E$1=MASTER!$N$2,MASTER!E128="X"),"",IF(AND($Q$2&lt;&gt;D128,$Q$2&lt;&gt;E128,$Q$2&lt;&gt;F128,I128="6 to 2",J128=FALSE,K128=FALSE),B128,"")))))))), "")</f>
        <v/>
      </c>
      <c r="M128" s="34" t="str">
        <f ca="1">IFERROR(IF(AND(MASTER!$K$1=MASTER!$N$2,MASTER!K128="X"),"",IF(AND(MASTER!$J$1=MASTER!$N$2,MASTER!J128="X"),"",IF(AND(MASTER!$I$1=MASTER!$N$2,MASTER!I128="X"),"",IF(AND(MASTER!$H$1=MASTER!$N$2,MASTER!H128="X"),"",IF(AND(MASTER!$G$1=MASTER!$N$2,MASTER!G128="X"),"",IF(AND(MASTER!$F$1=MASTER!$N$2,MASTER!F128="X"),"",IF(AND(MASTER!$E$1=MASTER!$N$2,MASTER!E128="X"),"",IF(AND($Q$2&lt;&gt;D128,$Q$2&lt;&gt;E128,$Q$2&lt;&gt;F128,I128="2 to 10",J128=FALSE,K128=FALSE),B128,"")))))))), "")</f>
        <v/>
      </c>
      <c r="N128" s="44" t="str">
        <f ca="1">IFERROR(IF(AND(MASTER!$K$1=MASTER!$N$2,MASTER!K128="X"),"",IF(AND(MASTER!$J$1=MASTER!$N$2,MASTER!J128="X"),"",IF(AND(MASTER!$I$1=MASTER!$N$2,MASTER!I128="X"),"",IF(AND(MASTER!$H$1=MASTER!$N$2,MASTER!H128="X"),"",IF(AND(MASTER!$G$1=MASTER!$N$2,MASTER!G128="X"),"",IF(AND(MASTER!$F$1=MASTER!$N$2,MASTER!F128="X"),"",IF(AND(MASTER!$E$1=MASTER!$N$2,MASTER!E128="X"),"",IF(AND($Q$2&lt;&gt;D128,$Q$2&lt;&gt;E128,$Q$2&lt;&gt;F128,I128="10 to 6",J128=FALSE,K128=FALSE),B128,"")))))))), "")</f>
        <v/>
      </c>
    </row>
    <row r="129" spans="3:14" x14ac:dyDescent="0.2">
      <c r="C129"/>
      <c r="G129"/>
      <c r="J129"/>
      <c r="L129" s="30" t="str">
        <f ca="1">IFERROR(IF(AND(MASTER!$K$1=MASTER!$N$2,MASTER!K129="X"),"",IF(AND(MASTER!$J$1=MASTER!$N$2,MASTER!J129="X"),"",IF(AND(MASTER!$I$1=MASTER!$N$2,MASTER!I129="X"),"",IF(AND(MASTER!$H$1=MASTER!$N$2,MASTER!H129="X"),"",IF(AND(MASTER!$G$1=MASTER!$N$2,MASTER!G129="X"),"",IF(AND(MASTER!$F$1=MASTER!$N$2,MASTER!F129="X"),"",IF(AND(MASTER!$E$1=MASTER!$N$2,MASTER!E129="X"),"",IF(AND($Q$2&lt;&gt;D129,$Q$2&lt;&gt;E129,$Q$2&lt;&gt;F129,I129="6 to 2",J129=FALSE,K129=FALSE),B129,"")))))))), "")</f>
        <v/>
      </c>
      <c r="M129" s="34" t="str">
        <f ca="1">IFERROR(IF(AND(MASTER!$K$1=MASTER!$N$2,MASTER!K129="X"),"",IF(AND(MASTER!$J$1=MASTER!$N$2,MASTER!J129="X"),"",IF(AND(MASTER!$I$1=MASTER!$N$2,MASTER!I129="X"),"",IF(AND(MASTER!$H$1=MASTER!$N$2,MASTER!H129="X"),"",IF(AND(MASTER!$G$1=MASTER!$N$2,MASTER!G129="X"),"",IF(AND(MASTER!$F$1=MASTER!$N$2,MASTER!F129="X"),"",IF(AND(MASTER!$E$1=MASTER!$N$2,MASTER!E129="X"),"",IF(AND($Q$2&lt;&gt;D129,$Q$2&lt;&gt;E129,$Q$2&lt;&gt;F129,I129="2 to 10",J129=FALSE,K129=FALSE),B129,"")))))))), "")</f>
        <v/>
      </c>
      <c r="N129" s="44" t="str">
        <f ca="1">IFERROR(IF(AND(MASTER!$K$1=MASTER!$N$2,MASTER!K129="X"),"",IF(AND(MASTER!$J$1=MASTER!$N$2,MASTER!J129="X"),"",IF(AND(MASTER!$I$1=MASTER!$N$2,MASTER!I129="X"),"",IF(AND(MASTER!$H$1=MASTER!$N$2,MASTER!H129="X"),"",IF(AND(MASTER!$G$1=MASTER!$N$2,MASTER!G129="X"),"",IF(AND(MASTER!$F$1=MASTER!$N$2,MASTER!F129="X"),"",IF(AND(MASTER!$E$1=MASTER!$N$2,MASTER!E129="X"),"",IF(AND($Q$2&lt;&gt;D129,$Q$2&lt;&gt;E129,$Q$2&lt;&gt;F129,I129="10 to 6",J129=FALSE,K129=FALSE),B129,"")))))))), "")</f>
        <v/>
      </c>
    </row>
    <row r="130" spans="3:14" x14ac:dyDescent="0.2">
      <c r="C130"/>
      <c r="G130"/>
      <c r="J130"/>
      <c r="L130" s="30" t="str">
        <f ca="1">IFERROR(IF(AND(MASTER!$K$1=MASTER!$N$2,MASTER!K130="X"),"",IF(AND(MASTER!$J$1=MASTER!$N$2,MASTER!J130="X"),"",IF(AND(MASTER!$I$1=MASTER!$N$2,MASTER!I130="X"),"",IF(AND(MASTER!$H$1=MASTER!$N$2,MASTER!H130="X"),"",IF(AND(MASTER!$G$1=MASTER!$N$2,MASTER!G130="X"),"",IF(AND(MASTER!$F$1=MASTER!$N$2,MASTER!F130="X"),"",IF(AND(MASTER!$E$1=MASTER!$N$2,MASTER!E130="X"),"",IF(AND($Q$2&lt;&gt;D130,$Q$2&lt;&gt;E130,$Q$2&lt;&gt;F130,I130="6 to 2",J130=FALSE,K130=FALSE),B130,"")))))))), "")</f>
        <v/>
      </c>
      <c r="M130" s="34" t="str">
        <f ca="1">IFERROR(IF(AND(MASTER!$K$1=MASTER!$N$2,MASTER!K130="X"),"",IF(AND(MASTER!$J$1=MASTER!$N$2,MASTER!J130="X"),"",IF(AND(MASTER!$I$1=MASTER!$N$2,MASTER!I130="X"),"",IF(AND(MASTER!$H$1=MASTER!$N$2,MASTER!H130="X"),"",IF(AND(MASTER!$G$1=MASTER!$N$2,MASTER!G130="X"),"",IF(AND(MASTER!$F$1=MASTER!$N$2,MASTER!F130="X"),"",IF(AND(MASTER!$E$1=MASTER!$N$2,MASTER!E130="X"),"",IF(AND($Q$2&lt;&gt;D130,$Q$2&lt;&gt;E130,$Q$2&lt;&gt;F130,I130="2 to 10",J130=FALSE,K130=FALSE),B130,"")))))))), "")</f>
        <v/>
      </c>
      <c r="N130" s="44" t="str">
        <f ca="1">IFERROR(IF(AND(MASTER!$K$1=MASTER!$N$2,MASTER!K130="X"),"",IF(AND(MASTER!$J$1=MASTER!$N$2,MASTER!J130="X"),"",IF(AND(MASTER!$I$1=MASTER!$N$2,MASTER!I130="X"),"",IF(AND(MASTER!$H$1=MASTER!$N$2,MASTER!H130="X"),"",IF(AND(MASTER!$G$1=MASTER!$N$2,MASTER!G130="X"),"",IF(AND(MASTER!$F$1=MASTER!$N$2,MASTER!F130="X"),"",IF(AND(MASTER!$E$1=MASTER!$N$2,MASTER!E130="X"),"",IF(AND($Q$2&lt;&gt;D130,$Q$2&lt;&gt;E130,$Q$2&lt;&gt;F130,I130="10 to 6",J130=FALSE,K130=FALSE),B130,"")))))))), "")</f>
        <v/>
      </c>
    </row>
    <row r="131" spans="3:14" x14ac:dyDescent="0.2">
      <c r="C131"/>
      <c r="G131"/>
      <c r="J131"/>
      <c r="L131" s="30" t="str">
        <f ca="1">IFERROR(IF(AND(MASTER!$K$1=MASTER!$N$2,MASTER!K131="X"),"",IF(AND(MASTER!$J$1=MASTER!$N$2,MASTER!J131="X"),"",IF(AND(MASTER!$I$1=MASTER!$N$2,MASTER!I131="X"),"",IF(AND(MASTER!$H$1=MASTER!$N$2,MASTER!H131="X"),"",IF(AND(MASTER!$G$1=MASTER!$N$2,MASTER!G131="X"),"",IF(AND(MASTER!$F$1=MASTER!$N$2,MASTER!F131="X"),"",IF(AND(MASTER!$E$1=MASTER!$N$2,MASTER!E131="X"),"",IF(AND($Q$2&lt;&gt;D131,$Q$2&lt;&gt;E131,$Q$2&lt;&gt;F131,I131="6 to 2",J131=FALSE,K131=FALSE),B131,"")))))))), "")</f>
        <v/>
      </c>
      <c r="M131" s="34" t="str">
        <f ca="1">IFERROR(IF(AND(MASTER!$K$1=MASTER!$N$2,MASTER!K131="X"),"",IF(AND(MASTER!$J$1=MASTER!$N$2,MASTER!J131="X"),"",IF(AND(MASTER!$I$1=MASTER!$N$2,MASTER!I131="X"),"",IF(AND(MASTER!$H$1=MASTER!$N$2,MASTER!H131="X"),"",IF(AND(MASTER!$G$1=MASTER!$N$2,MASTER!G131="X"),"",IF(AND(MASTER!$F$1=MASTER!$N$2,MASTER!F131="X"),"",IF(AND(MASTER!$E$1=MASTER!$N$2,MASTER!E131="X"),"",IF(AND($Q$2&lt;&gt;D131,$Q$2&lt;&gt;E131,$Q$2&lt;&gt;F131,I131="2 to 10",J131=FALSE,K131=FALSE),B131,"")))))))), "")</f>
        <v/>
      </c>
      <c r="N131" s="44" t="str">
        <f ca="1">IFERROR(IF(AND(MASTER!$K$1=MASTER!$N$2,MASTER!K131="X"),"",IF(AND(MASTER!$J$1=MASTER!$N$2,MASTER!J131="X"),"",IF(AND(MASTER!$I$1=MASTER!$N$2,MASTER!I131="X"),"",IF(AND(MASTER!$H$1=MASTER!$N$2,MASTER!H131="X"),"",IF(AND(MASTER!$G$1=MASTER!$N$2,MASTER!G131="X"),"",IF(AND(MASTER!$F$1=MASTER!$N$2,MASTER!F131="X"),"",IF(AND(MASTER!$E$1=MASTER!$N$2,MASTER!E131="X"),"",IF(AND($Q$2&lt;&gt;D131,$Q$2&lt;&gt;E131,$Q$2&lt;&gt;F131,I131="10 to 6",J131=FALSE,K131=FALSE),B131,"")))))))), "")</f>
        <v/>
      </c>
    </row>
    <row r="132" spans="3:14" x14ac:dyDescent="0.2">
      <c r="C132"/>
      <c r="G132"/>
      <c r="J132"/>
      <c r="L132" s="30" t="str">
        <f ca="1">IFERROR(IF(AND(MASTER!$K$1=MASTER!$N$2,MASTER!K132="X"),"",IF(AND(MASTER!$J$1=MASTER!$N$2,MASTER!J132="X"),"",IF(AND(MASTER!$I$1=MASTER!$N$2,MASTER!I132="X"),"",IF(AND(MASTER!$H$1=MASTER!$N$2,MASTER!H132="X"),"",IF(AND(MASTER!$G$1=MASTER!$N$2,MASTER!G132="X"),"",IF(AND(MASTER!$F$1=MASTER!$N$2,MASTER!F132="X"),"",IF(AND(MASTER!$E$1=MASTER!$N$2,MASTER!E132="X"),"",IF(AND($Q$2&lt;&gt;D132,$Q$2&lt;&gt;E132,$Q$2&lt;&gt;F132,I132="6 to 2",J132=FALSE,K132=FALSE),B132,"")))))))), "")</f>
        <v/>
      </c>
      <c r="M132" s="34" t="str">
        <f ca="1">IFERROR(IF(AND(MASTER!$K$1=MASTER!$N$2,MASTER!K132="X"),"",IF(AND(MASTER!$J$1=MASTER!$N$2,MASTER!J132="X"),"",IF(AND(MASTER!$I$1=MASTER!$N$2,MASTER!I132="X"),"",IF(AND(MASTER!$H$1=MASTER!$N$2,MASTER!H132="X"),"",IF(AND(MASTER!$G$1=MASTER!$N$2,MASTER!G132="X"),"",IF(AND(MASTER!$F$1=MASTER!$N$2,MASTER!F132="X"),"",IF(AND(MASTER!$E$1=MASTER!$N$2,MASTER!E132="X"),"",IF(AND($Q$2&lt;&gt;D132,$Q$2&lt;&gt;E132,$Q$2&lt;&gt;F132,I132="2 to 10",J132=FALSE,K132=FALSE),B132,"")))))))), "")</f>
        <v/>
      </c>
      <c r="N132" s="44" t="str">
        <f ca="1">IFERROR(IF(AND(MASTER!$K$1=MASTER!$N$2,MASTER!K132="X"),"",IF(AND(MASTER!$J$1=MASTER!$N$2,MASTER!J132="X"),"",IF(AND(MASTER!$I$1=MASTER!$N$2,MASTER!I132="X"),"",IF(AND(MASTER!$H$1=MASTER!$N$2,MASTER!H132="X"),"",IF(AND(MASTER!$G$1=MASTER!$N$2,MASTER!G132="X"),"",IF(AND(MASTER!$F$1=MASTER!$N$2,MASTER!F132="X"),"",IF(AND(MASTER!$E$1=MASTER!$N$2,MASTER!E132="X"),"",IF(AND($Q$2&lt;&gt;D132,$Q$2&lt;&gt;E132,$Q$2&lt;&gt;F132,I132="10 to 6",J132=FALSE,K132=FALSE),B132,"")))))))), "")</f>
        <v/>
      </c>
    </row>
    <row r="133" spans="3:14" x14ac:dyDescent="0.2">
      <c r="C133"/>
      <c r="G133"/>
      <c r="J133"/>
      <c r="L133" s="30" t="str">
        <f ca="1">IFERROR(IF(AND(MASTER!$K$1=MASTER!$N$2,MASTER!K133="X"),"",IF(AND(MASTER!$J$1=MASTER!$N$2,MASTER!J133="X"),"",IF(AND(MASTER!$I$1=MASTER!$N$2,MASTER!I133="X"),"",IF(AND(MASTER!$H$1=MASTER!$N$2,MASTER!H133="X"),"",IF(AND(MASTER!$G$1=MASTER!$N$2,MASTER!G133="X"),"",IF(AND(MASTER!$F$1=MASTER!$N$2,MASTER!F133="X"),"",IF(AND(MASTER!$E$1=MASTER!$N$2,MASTER!E133="X"),"",IF(AND($Q$2&lt;&gt;D133,$Q$2&lt;&gt;E133,$Q$2&lt;&gt;F133,I133="6 to 2",J133=FALSE,K133=FALSE),B133,"")))))))), "")</f>
        <v/>
      </c>
      <c r="M133" s="34" t="str">
        <f ca="1">IFERROR(IF(AND(MASTER!$K$1=MASTER!$N$2,MASTER!K133="X"),"",IF(AND(MASTER!$J$1=MASTER!$N$2,MASTER!J133="X"),"",IF(AND(MASTER!$I$1=MASTER!$N$2,MASTER!I133="X"),"",IF(AND(MASTER!$H$1=MASTER!$N$2,MASTER!H133="X"),"",IF(AND(MASTER!$G$1=MASTER!$N$2,MASTER!G133="X"),"",IF(AND(MASTER!$F$1=MASTER!$N$2,MASTER!F133="X"),"",IF(AND(MASTER!$E$1=MASTER!$N$2,MASTER!E133="X"),"",IF(AND($Q$2&lt;&gt;D133,$Q$2&lt;&gt;E133,$Q$2&lt;&gt;F133,I133="2 to 10",J133=FALSE,K133=FALSE),B133,"")))))))), "")</f>
        <v/>
      </c>
      <c r="N133" s="44" t="str">
        <f ca="1">IFERROR(IF(AND(MASTER!$K$1=MASTER!$N$2,MASTER!K133="X"),"",IF(AND(MASTER!$J$1=MASTER!$N$2,MASTER!J133="X"),"",IF(AND(MASTER!$I$1=MASTER!$N$2,MASTER!I133="X"),"",IF(AND(MASTER!$H$1=MASTER!$N$2,MASTER!H133="X"),"",IF(AND(MASTER!$G$1=MASTER!$N$2,MASTER!G133="X"),"",IF(AND(MASTER!$F$1=MASTER!$N$2,MASTER!F133="X"),"",IF(AND(MASTER!$E$1=MASTER!$N$2,MASTER!E133="X"),"",IF(AND($Q$2&lt;&gt;D133,$Q$2&lt;&gt;E133,$Q$2&lt;&gt;F133,I133="10 to 6",J133=FALSE,K133=FALSE),B133,"")))))))), "")</f>
        <v/>
      </c>
    </row>
    <row r="134" spans="3:14" x14ac:dyDescent="0.2">
      <c r="C134"/>
      <c r="G134"/>
      <c r="J134"/>
      <c r="L134" s="30" t="str">
        <f ca="1">IFERROR(IF(AND(MASTER!$K$1=MASTER!$N$2,MASTER!K134="X"),"",IF(AND(MASTER!$J$1=MASTER!$N$2,MASTER!J134="X"),"",IF(AND(MASTER!$I$1=MASTER!$N$2,MASTER!I134="X"),"",IF(AND(MASTER!$H$1=MASTER!$N$2,MASTER!H134="X"),"",IF(AND(MASTER!$G$1=MASTER!$N$2,MASTER!G134="X"),"",IF(AND(MASTER!$F$1=MASTER!$N$2,MASTER!F134="X"),"",IF(AND(MASTER!$E$1=MASTER!$N$2,MASTER!E134="X"),"",IF(AND($Q$2&lt;&gt;D134,$Q$2&lt;&gt;E134,$Q$2&lt;&gt;F134,I134="6 to 2",J134=FALSE,K134=FALSE),B134,"")))))))), "")</f>
        <v/>
      </c>
      <c r="M134" s="34" t="str">
        <f ca="1">IFERROR(IF(AND(MASTER!$K$1=MASTER!$N$2,MASTER!K134="X"),"",IF(AND(MASTER!$J$1=MASTER!$N$2,MASTER!J134="X"),"",IF(AND(MASTER!$I$1=MASTER!$N$2,MASTER!I134="X"),"",IF(AND(MASTER!$H$1=MASTER!$N$2,MASTER!H134="X"),"",IF(AND(MASTER!$G$1=MASTER!$N$2,MASTER!G134="X"),"",IF(AND(MASTER!$F$1=MASTER!$N$2,MASTER!F134="X"),"",IF(AND(MASTER!$E$1=MASTER!$N$2,MASTER!E134="X"),"",IF(AND($Q$2&lt;&gt;D134,$Q$2&lt;&gt;E134,$Q$2&lt;&gt;F134,I134="2 to 10",J134=FALSE,K134=FALSE),B134,"")))))))), "")</f>
        <v/>
      </c>
      <c r="N134" s="44" t="str">
        <f ca="1">IFERROR(IF(AND(MASTER!$K$1=MASTER!$N$2,MASTER!K134="X"),"",IF(AND(MASTER!$J$1=MASTER!$N$2,MASTER!J134="X"),"",IF(AND(MASTER!$I$1=MASTER!$N$2,MASTER!I134="X"),"",IF(AND(MASTER!$H$1=MASTER!$N$2,MASTER!H134="X"),"",IF(AND(MASTER!$G$1=MASTER!$N$2,MASTER!G134="X"),"",IF(AND(MASTER!$F$1=MASTER!$N$2,MASTER!F134="X"),"",IF(AND(MASTER!$E$1=MASTER!$N$2,MASTER!E134="X"),"",IF(AND($Q$2&lt;&gt;D134,$Q$2&lt;&gt;E134,$Q$2&lt;&gt;F134,I134="10 to 6",J134=FALSE,K134=FALSE),B134,"")))))))), "")</f>
        <v/>
      </c>
    </row>
    <row r="135" spans="3:14" x14ac:dyDescent="0.2">
      <c r="C135"/>
      <c r="G135"/>
      <c r="J135"/>
      <c r="L135" s="30" t="str">
        <f ca="1">IFERROR(IF(AND(MASTER!$K$1=MASTER!$N$2,MASTER!K135="X"),"",IF(AND(MASTER!$J$1=MASTER!$N$2,MASTER!J135="X"),"",IF(AND(MASTER!$I$1=MASTER!$N$2,MASTER!I135="X"),"",IF(AND(MASTER!$H$1=MASTER!$N$2,MASTER!H135="X"),"",IF(AND(MASTER!$G$1=MASTER!$N$2,MASTER!G135="X"),"",IF(AND(MASTER!$F$1=MASTER!$N$2,MASTER!F135="X"),"",IF(AND(MASTER!$E$1=MASTER!$N$2,MASTER!E135="X"),"",IF(AND($Q$2&lt;&gt;D135,$Q$2&lt;&gt;E135,$Q$2&lt;&gt;F135,I135="6 to 2",J135=FALSE,K135=FALSE),B135,"")))))))), "")</f>
        <v/>
      </c>
      <c r="M135" s="34" t="str">
        <f ca="1">IFERROR(IF(AND(MASTER!$K$1=MASTER!$N$2,MASTER!K135="X"),"",IF(AND(MASTER!$J$1=MASTER!$N$2,MASTER!J135="X"),"",IF(AND(MASTER!$I$1=MASTER!$N$2,MASTER!I135="X"),"",IF(AND(MASTER!$H$1=MASTER!$N$2,MASTER!H135="X"),"",IF(AND(MASTER!$G$1=MASTER!$N$2,MASTER!G135="X"),"",IF(AND(MASTER!$F$1=MASTER!$N$2,MASTER!F135="X"),"",IF(AND(MASTER!$E$1=MASTER!$N$2,MASTER!E135="X"),"",IF(AND($Q$2&lt;&gt;D135,$Q$2&lt;&gt;E135,$Q$2&lt;&gt;F135,I135="2 to 10",J135=FALSE,K135=FALSE),B135,"")))))))), "")</f>
        <v/>
      </c>
      <c r="N135" s="44" t="str">
        <f ca="1">IFERROR(IF(AND(MASTER!$K$1=MASTER!$N$2,MASTER!K135="X"),"",IF(AND(MASTER!$J$1=MASTER!$N$2,MASTER!J135="X"),"",IF(AND(MASTER!$I$1=MASTER!$N$2,MASTER!I135="X"),"",IF(AND(MASTER!$H$1=MASTER!$N$2,MASTER!H135="X"),"",IF(AND(MASTER!$G$1=MASTER!$N$2,MASTER!G135="X"),"",IF(AND(MASTER!$F$1=MASTER!$N$2,MASTER!F135="X"),"",IF(AND(MASTER!$E$1=MASTER!$N$2,MASTER!E135="X"),"",IF(AND($Q$2&lt;&gt;D135,$Q$2&lt;&gt;E135,$Q$2&lt;&gt;F135,I135="10 to 6",J135=FALSE,K135=FALSE),B135,"")))))))), "")</f>
        <v/>
      </c>
    </row>
    <row r="136" spans="3:14" x14ac:dyDescent="0.2">
      <c r="C136"/>
      <c r="G136"/>
      <c r="J136"/>
      <c r="L136" s="30" t="str">
        <f ca="1">IFERROR(IF(AND(MASTER!$K$1=MASTER!$N$2,MASTER!K136="X"),"",IF(AND(MASTER!$J$1=MASTER!$N$2,MASTER!J136="X"),"",IF(AND(MASTER!$I$1=MASTER!$N$2,MASTER!I136="X"),"",IF(AND(MASTER!$H$1=MASTER!$N$2,MASTER!H136="X"),"",IF(AND(MASTER!$G$1=MASTER!$N$2,MASTER!G136="X"),"",IF(AND(MASTER!$F$1=MASTER!$N$2,MASTER!F136="X"),"",IF(AND(MASTER!$E$1=MASTER!$N$2,MASTER!E136="X"),"",IF(AND($Q$2&lt;&gt;D136,$Q$2&lt;&gt;E136,$Q$2&lt;&gt;F136,I136="6 to 2",J136=FALSE,K136=FALSE),B136,"")))))))), "")</f>
        <v/>
      </c>
      <c r="M136" s="34" t="str">
        <f ca="1">IFERROR(IF(AND(MASTER!$K$1=MASTER!$N$2,MASTER!K136="X"),"",IF(AND(MASTER!$J$1=MASTER!$N$2,MASTER!J136="X"),"",IF(AND(MASTER!$I$1=MASTER!$N$2,MASTER!I136="X"),"",IF(AND(MASTER!$H$1=MASTER!$N$2,MASTER!H136="X"),"",IF(AND(MASTER!$G$1=MASTER!$N$2,MASTER!G136="X"),"",IF(AND(MASTER!$F$1=MASTER!$N$2,MASTER!F136="X"),"",IF(AND(MASTER!$E$1=MASTER!$N$2,MASTER!E136="X"),"",IF(AND($Q$2&lt;&gt;D136,$Q$2&lt;&gt;E136,$Q$2&lt;&gt;F136,I136="2 to 10",J136=FALSE,K136=FALSE),B136,"")))))))), "")</f>
        <v/>
      </c>
      <c r="N136" s="44" t="str">
        <f ca="1">IFERROR(IF(AND(MASTER!$K$1=MASTER!$N$2,MASTER!K136="X"),"",IF(AND(MASTER!$J$1=MASTER!$N$2,MASTER!J136="X"),"",IF(AND(MASTER!$I$1=MASTER!$N$2,MASTER!I136="X"),"",IF(AND(MASTER!$H$1=MASTER!$N$2,MASTER!H136="X"),"",IF(AND(MASTER!$G$1=MASTER!$N$2,MASTER!G136="X"),"",IF(AND(MASTER!$F$1=MASTER!$N$2,MASTER!F136="X"),"",IF(AND(MASTER!$E$1=MASTER!$N$2,MASTER!E136="X"),"",IF(AND($Q$2&lt;&gt;D136,$Q$2&lt;&gt;E136,$Q$2&lt;&gt;F136,I136="10 to 6",J136=FALSE,K136=FALSE),B136,"")))))))), "")</f>
        <v/>
      </c>
    </row>
    <row r="137" spans="3:14" x14ac:dyDescent="0.2">
      <c r="C137"/>
      <c r="G137"/>
      <c r="J137"/>
      <c r="L137" s="30" t="str">
        <f ca="1">IFERROR(IF(AND(MASTER!$K$1=MASTER!$N$2,MASTER!K137="X"),"",IF(AND(MASTER!$J$1=MASTER!$N$2,MASTER!J137="X"),"",IF(AND(MASTER!$I$1=MASTER!$N$2,MASTER!I137="X"),"",IF(AND(MASTER!$H$1=MASTER!$N$2,MASTER!H137="X"),"",IF(AND(MASTER!$G$1=MASTER!$N$2,MASTER!G137="X"),"",IF(AND(MASTER!$F$1=MASTER!$N$2,MASTER!F137="X"),"",IF(AND(MASTER!$E$1=MASTER!$N$2,MASTER!E137="X"),"",IF(AND($Q$2&lt;&gt;D137,$Q$2&lt;&gt;E137,$Q$2&lt;&gt;F137,I137="6 to 2",J137=FALSE,K137=FALSE),B137,"")))))))), "")</f>
        <v/>
      </c>
      <c r="M137" s="34" t="str">
        <f ca="1">IFERROR(IF(AND(MASTER!$K$1=MASTER!$N$2,MASTER!K137="X"),"",IF(AND(MASTER!$J$1=MASTER!$N$2,MASTER!J137="X"),"",IF(AND(MASTER!$I$1=MASTER!$N$2,MASTER!I137="X"),"",IF(AND(MASTER!$H$1=MASTER!$N$2,MASTER!H137="X"),"",IF(AND(MASTER!$G$1=MASTER!$N$2,MASTER!G137="X"),"",IF(AND(MASTER!$F$1=MASTER!$N$2,MASTER!F137="X"),"",IF(AND(MASTER!$E$1=MASTER!$N$2,MASTER!E137="X"),"",IF(AND($Q$2&lt;&gt;D137,$Q$2&lt;&gt;E137,$Q$2&lt;&gt;F137,I137="2 to 10",J137=FALSE,K137=FALSE),B137,"")))))))), "")</f>
        <v/>
      </c>
      <c r="N137" s="44" t="str">
        <f ca="1">IFERROR(IF(AND(MASTER!$K$1=MASTER!$N$2,MASTER!K137="X"),"",IF(AND(MASTER!$J$1=MASTER!$N$2,MASTER!J137="X"),"",IF(AND(MASTER!$I$1=MASTER!$N$2,MASTER!I137="X"),"",IF(AND(MASTER!$H$1=MASTER!$N$2,MASTER!H137="X"),"",IF(AND(MASTER!$G$1=MASTER!$N$2,MASTER!G137="X"),"",IF(AND(MASTER!$F$1=MASTER!$N$2,MASTER!F137="X"),"",IF(AND(MASTER!$E$1=MASTER!$N$2,MASTER!E137="X"),"",IF(AND($Q$2&lt;&gt;D137,$Q$2&lt;&gt;E137,$Q$2&lt;&gt;F137,I137="10 to 6",J137=FALSE,K137=FALSE),B137,"")))))))), "")</f>
        <v/>
      </c>
    </row>
    <row r="138" spans="3:14" x14ac:dyDescent="0.2">
      <c r="C138"/>
      <c r="G138"/>
      <c r="J138"/>
      <c r="L138" s="30" t="str">
        <f ca="1">IFERROR(IF(AND(MASTER!$K$1=MASTER!$N$2,MASTER!K138="X"),"",IF(AND(MASTER!$J$1=MASTER!$N$2,MASTER!J138="X"),"",IF(AND(MASTER!$I$1=MASTER!$N$2,MASTER!I138="X"),"",IF(AND(MASTER!$H$1=MASTER!$N$2,MASTER!H138="X"),"",IF(AND(MASTER!$G$1=MASTER!$N$2,MASTER!G138="X"),"",IF(AND(MASTER!$F$1=MASTER!$N$2,MASTER!F138="X"),"",IF(AND(MASTER!$E$1=MASTER!$N$2,MASTER!E138="X"),"",IF(AND($Q$2&lt;&gt;D138,$Q$2&lt;&gt;E138,$Q$2&lt;&gt;F138,I138="6 to 2",J138=FALSE,K138=FALSE),B138,"")))))))), "")</f>
        <v/>
      </c>
      <c r="M138" s="34" t="str">
        <f ca="1">IFERROR(IF(AND(MASTER!$K$1=MASTER!$N$2,MASTER!K138="X"),"",IF(AND(MASTER!$J$1=MASTER!$N$2,MASTER!J138="X"),"",IF(AND(MASTER!$I$1=MASTER!$N$2,MASTER!I138="X"),"",IF(AND(MASTER!$H$1=MASTER!$N$2,MASTER!H138="X"),"",IF(AND(MASTER!$G$1=MASTER!$N$2,MASTER!G138="X"),"",IF(AND(MASTER!$F$1=MASTER!$N$2,MASTER!F138="X"),"",IF(AND(MASTER!$E$1=MASTER!$N$2,MASTER!E138="X"),"",IF(AND($Q$2&lt;&gt;D138,$Q$2&lt;&gt;E138,$Q$2&lt;&gt;F138,I138="2 to 10",J138=FALSE,K138=FALSE),B138,"")))))))), "")</f>
        <v/>
      </c>
      <c r="N138" s="44" t="str">
        <f ca="1">IFERROR(IF(AND(MASTER!$K$1=MASTER!$N$2,MASTER!K138="X"),"",IF(AND(MASTER!$J$1=MASTER!$N$2,MASTER!J138="X"),"",IF(AND(MASTER!$I$1=MASTER!$N$2,MASTER!I138="X"),"",IF(AND(MASTER!$H$1=MASTER!$N$2,MASTER!H138="X"),"",IF(AND(MASTER!$G$1=MASTER!$N$2,MASTER!G138="X"),"",IF(AND(MASTER!$F$1=MASTER!$N$2,MASTER!F138="X"),"",IF(AND(MASTER!$E$1=MASTER!$N$2,MASTER!E138="X"),"",IF(AND($Q$2&lt;&gt;D138,$Q$2&lt;&gt;E138,$Q$2&lt;&gt;F138,I138="10 to 6",J138=FALSE,K138=FALSE),B138,"")))))))), "")</f>
        <v/>
      </c>
    </row>
    <row r="139" spans="3:14" x14ac:dyDescent="0.2">
      <c r="C139"/>
      <c r="G139"/>
      <c r="J139"/>
      <c r="L139" s="30" t="str">
        <f ca="1">IFERROR(IF(AND(MASTER!$K$1=MASTER!$N$2,MASTER!K139="X"),"",IF(AND(MASTER!$J$1=MASTER!$N$2,MASTER!J139="X"),"",IF(AND(MASTER!$I$1=MASTER!$N$2,MASTER!I139="X"),"",IF(AND(MASTER!$H$1=MASTER!$N$2,MASTER!H139="X"),"",IF(AND(MASTER!$G$1=MASTER!$N$2,MASTER!G139="X"),"",IF(AND(MASTER!$F$1=MASTER!$N$2,MASTER!F139="X"),"",IF(AND(MASTER!$E$1=MASTER!$N$2,MASTER!E139="X"),"",IF(AND($Q$2&lt;&gt;D139,$Q$2&lt;&gt;E139,$Q$2&lt;&gt;F139,I139="6 to 2",J139=FALSE,K139=FALSE),B139,"")))))))), "")</f>
        <v/>
      </c>
      <c r="M139" s="34" t="str">
        <f ca="1">IFERROR(IF(AND(MASTER!$K$1=MASTER!$N$2,MASTER!K139="X"),"",IF(AND(MASTER!$J$1=MASTER!$N$2,MASTER!J139="X"),"",IF(AND(MASTER!$I$1=MASTER!$N$2,MASTER!I139="X"),"",IF(AND(MASTER!$H$1=MASTER!$N$2,MASTER!H139="X"),"",IF(AND(MASTER!$G$1=MASTER!$N$2,MASTER!G139="X"),"",IF(AND(MASTER!$F$1=MASTER!$N$2,MASTER!F139="X"),"",IF(AND(MASTER!$E$1=MASTER!$N$2,MASTER!E139="X"),"",IF(AND($Q$2&lt;&gt;D139,$Q$2&lt;&gt;E139,$Q$2&lt;&gt;F139,I139="2 to 10",J139=FALSE,K139=FALSE),B139,"")))))))), "")</f>
        <v/>
      </c>
      <c r="N139" s="44" t="str">
        <f ca="1">IFERROR(IF(AND(MASTER!$K$1=MASTER!$N$2,MASTER!K139="X"),"",IF(AND(MASTER!$J$1=MASTER!$N$2,MASTER!J139="X"),"",IF(AND(MASTER!$I$1=MASTER!$N$2,MASTER!I139="X"),"",IF(AND(MASTER!$H$1=MASTER!$N$2,MASTER!H139="X"),"",IF(AND(MASTER!$G$1=MASTER!$N$2,MASTER!G139="X"),"",IF(AND(MASTER!$F$1=MASTER!$N$2,MASTER!F139="X"),"",IF(AND(MASTER!$E$1=MASTER!$N$2,MASTER!E139="X"),"",IF(AND($Q$2&lt;&gt;D139,$Q$2&lt;&gt;E139,$Q$2&lt;&gt;F139,I139="10 to 6",J139=FALSE,K139=FALSE),B139,"")))))))), "")</f>
        <v/>
      </c>
    </row>
    <row r="140" spans="3:14" x14ac:dyDescent="0.2">
      <c r="C140"/>
      <c r="G140"/>
      <c r="J140"/>
      <c r="L140" s="30" t="str">
        <f ca="1">IFERROR(IF(AND(MASTER!$K$1=MASTER!$N$2,MASTER!K140="X"),"",IF(AND(MASTER!$J$1=MASTER!$N$2,MASTER!J140="X"),"",IF(AND(MASTER!$I$1=MASTER!$N$2,MASTER!I140="X"),"",IF(AND(MASTER!$H$1=MASTER!$N$2,MASTER!H140="X"),"",IF(AND(MASTER!$G$1=MASTER!$N$2,MASTER!G140="X"),"",IF(AND(MASTER!$F$1=MASTER!$N$2,MASTER!F140="X"),"",IF(AND(MASTER!$E$1=MASTER!$N$2,MASTER!E140="X"),"",IF(AND($Q$2&lt;&gt;D140,$Q$2&lt;&gt;E140,$Q$2&lt;&gt;F140,I140="6 to 2",J140=FALSE,K140=FALSE),B140,"")))))))), "")</f>
        <v/>
      </c>
      <c r="M140" s="34" t="str">
        <f ca="1">IFERROR(IF(AND(MASTER!$K$1=MASTER!$N$2,MASTER!K140="X"),"",IF(AND(MASTER!$J$1=MASTER!$N$2,MASTER!J140="X"),"",IF(AND(MASTER!$I$1=MASTER!$N$2,MASTER!I140="X"),"",IF(AND(MASTER!$H$1=MASTER!$N$2,MASTER!H140="X"),"",IF(AND(MASTER!$G$1=MASTER!$N$2,MASTER!G140="X"),"",IF(AND(MASTER!$F$1=MASTER!$N$2,MASTER!F140="X"),"",IF(AND(MASTER!$E$1=MASTER!$N$2,MASTER!E140="X"),"",IF(AND($Q$2&lt;&gt;D140,$Q$2&lt;&gt;E140,$Q$2&lt;&gt;F140,I140="2 to 10",J140=FALSE,K140=FALSE),B140,"")))))))), "")</f>
        <v/>
      </c>
      <c r="N140" s="44" t="str">
        <f ca="1">IFERROR(IF(AND(MASTER!$K$1=MASTER!$N$2,MASTER!K140="X"),"",IF(AND(MASTER!$J$1=MASTER!$N$2,MASTER!J140="X"),"",IF(AND(MASTER!$I$1=MASTER!$N$2,MASTER!I140="X"),"",IF(AND(MASTER!$H$1=MASTER!$N$2,MASTER!H140="X"),"",IF(AND(MASTER!$G$1=MASTER!$N$2,MASTER!G140="X"),"",IF(AND(MASTER!$F$1=MASTER!$N$2,MASTER!F140="X"),"",IF(AND(MASTER!$E$1=MASTER!$N$2,MASTER!E140="X"),"",IF(AND($Q$2&lt;&gt;D140,$Q$2&lt;&gt;E140,$Q$2&lt;&gt;F140,I140="10 to 6",J140=FALSE,K140=FALSE),B140,"")))))))), "")</f>
        <v/>
      </c>
    </row>
    <row r="141" spans="3:14" x14ac:dyDescent="0.2">
      <c r="C141"/>
      <c r="G141"/>
      <c r="J141"/>
      <c r="L141" s="30" t="str">
        <f ca="1">IFERROR(IF(AND(MASTER!$K$1=MASTER!$N$2,MASTER!K141="X"),"",IF(AND(MASTER!$J$1=MASTER!$N$2,MASTER!J141="X"),"",IF(AND(MASTER!$I$1=MASTER!$N$2,MASTER!I141="X"),"",IF(AND(MASTER!$H$1=MASTER!$N$2,MASTER!H141="X"),"",IF(AND(MASTER!$G$1=MASTER!$N$2,MASTER!G141="X"),"",IF(AND(MASTER!$F$1=MASTER!$N$2,MASTER!F141="X"),"",IF(AND(MASTER!$E$1=MASTER!$N$2,MASTER!E141="X"),"",IF(AND($Q$2&lt;&gt;D141,$Q$2&lt;&gt;E141,$Q$2&lt;&gt;F141,I141="6 to 2",J141=FALSE,K141=FALSE),B141,"")))))))), "")</f>
        <v/>
      </c>
      <c r="M141" s="34" t="str">
        <f ca="1">IFERROR(IF(AND(MASTER!$K$1=MASTER!$N$2,MASTER!K141="X"),"",IF(AND(MASTER!$J$1=MASTER!$N$2,MASTER!J141="X"),"",IF(AND(MASTER!$I$1=MASTER!$N$2,MASTER!I141="X"),"",IF(AND(MASTER!$H$1=MASTER!$N$2,MASTER!H141="X"),"",IF(AND(MASTER!$G$1=MASTER!$N$2,MASTER!G141="X"),"",IF(AND(MASTER!$F$1=MASTER!$N$2,MASTER!F141="X"),"",IF(AND(MASTER!$E$1=MASTER!$N$2,MASTER!E141="X"),"",IF(AND($Q$2&lt;&gt;D141,$Q$2&lt;&gt;E141,$Q$2&lt;&gt;F141,I141="2 to 10",J141=FALSE,K141=FALSE),B141,"")))))))), "")</f>
        <v/>
      </c>
      <c r="N141" s="44" t="str">
        <f ca="1">IFERROR(IF(AND(MASTER!$K$1=MASTER!$N$2,MASTER!K141="X"),"",IF(AND(MASTER!$J$1=MASTER!$N$2,MASTER!J141="X"),"",IF(AND(MASTER!$I$1=MASTER!$N$2,MASTER!I141="X"),"",IF(AND(MASTER!$H$1=MASTER!$N$2,MASTER!H141="X"),"",IF(AND(MASTER!$G$1=MASTER!$N$2,MASTER!G141="X"),"",IF(AND(MASTER!$F$1=MASTER!$N$2,MASTER!F141="X"),"",IF(AND(MASTER!$E$1=MASTER!$N$2,MASTER!E141="X"),"",IF(AND($Q$2&lt;&gt;D141,$Q$2&lt;&gt;E141,$Q$2&lt;&gt;F141,I141="10 to 6",J141=FALSE,K141=FALSE),B141,"")))))))), "")</f>
        <v/>
      </c>
    </row>
    <row r="142" spans="3:14" x14ac:dyDescent="0.2">
      <c r="C142"/>
      <c r="G142"/>
      <c r="J142"/>
      <c r="L142" s="30" t="str">
        <f ca="1">IFERROR(IF(AND(MASTER!$K$1=MASTER!$N$2,MASTER!K142="X"),"",IF(AND(MASTER!$J$1=MASTER!$N$2,MASTER!J142="X"),"",IF(AND(MASTER!$I$1=MASTER!$N$2,MASTER!I142="X"),"",IF(AND(MASTER!$H$1=MASTER!$N$2,MASTER!H142="X"),"",IF(AND(MASTER!$G$1=MASTER!$N$2,MASTER!G142="X"),"",IF(AND(MASTER!$F$1=MASTER!$N$2,MASTER!F142="X"),"",IF(AND(MASTER!$E$1=MASTER!$N$2,MASTER!E142="X"),"",IF(AND($Q$2&lt;&gt;D142,$Q$2&lt;&gt;E142,$Q$2&lt;&gt;F142,I142="6 to 2",J142=FALSE,K142=FALSE),B142,"")))))))), "")</f>
        <v/>
      </c>
      <c r="M142" s="34" t="str">
        <f ca="1">IFERROR(IF(AND(MASTER!$K$1=MASTER!$N$2,MASTER!K142="X"),"",IF(AND(MASTER!$J$1=MASTER!$N$2,MASTER!J142="X"),"",IF(AND(MASTER!$I$1=MASTER!$N$2,MASTER!I142="X"),"",IF(AND(MASTER!$H$1=MASTER!$N$2,MASTER!H142="X"),"",IF(AND(MASTER!$G$1=MASTER!$N$2,MASTER!G142="X"),"",IF(AND(MASTER!$F$1=MASTER!$N$2,MASTER!F142="X"),"",IF(AND(MASTER!$E$1=MASTER!$N$2,MASTER!E142="X"),"",IF(AND($Q$2&lt;&gt;D142,$Q$2&lt;&gt;E142,$Q$2&lt;&gt;F142,I142="2 to 10",J142=FALSE,K142=FALSE),B142,"")))))))), "")</f>
        <v/>
      </c>
      <c r="N142" s="44" t="str">
        <f ca="1">IFERROR(IF(AND(MASTER!$K$1=MASTER!$N$2,MASTER!K142="X"),"",IF(AND(MASTER!$J$1=MASTER!$N$2,MASTER!J142="X"),"",IF(AND(MASTER!$I$1=MASTER!$N$2,MASTER!I142="X"),"",IF(AND(MASTER!$H$1=MASTER!$N$2,MASTER!H142="X"),"",IF(AND(MASTER!$G$1=MASTER!$N$2,MASTER!G142="X"),"",IF(AND(MASTER!$F$1=MASTER!$N$2,MASTER!F142="X"),"",IF(AND(MASTER!$E$1=MASTER!$N$2,MASTER!E142="X"),"",IF(AND($Q$2&lt;&gt;D142,$Q$2&lt;&gt;E142,$Q$2&lt;&gt;F142,I142="10 to 6",J142=FALSE,K142=FALSE),B142,"")))))))), "")</f>
        <v/>
      </c>
    </row>
    <row r="143" spans="3:14" x14ac:dyDescent="0.2">
      <c r="C143"/>
      <c r="G143"/>
      <c r="J143"/>
      <c r="L143" s="30" t="str">
        <f ca="1">IFERROR(IF(AND(MASTER!$K$1=MASTER!$N$2,MASTER!K143="X"),"",IF(AND(MASTER!$J$1=MASTER!$N$2,MASTER!J143="X"),"",IF(AND(MASTER!$I$1=MASTER!$N$2,MASTER!I143="X"),"",IF(AND(MASTER!$H$1=MASTER!$N$2,MASTER!H143="X"),"",IF(AND(MASTER!$G$1=MASTER!$N$2,MASTER!G143="X"),"",IF(AND(MASTER!$F$1=MASTER!$N$2,MASTER!F143="X"),"",IF(AND(MASTER!$E$1=MASTER!$N$2,MASTER!E143="X"),"",IF(AND($Q$2&lt;&gt;D143,$Q$2&lt;&gt;E143,$Q$2&lt;&gt;F143,I143="6 to 2",J143=FALSE,K143=FALSE),B143,"")))))))), "")</f>
        <v/>
      </c>
      <c r="M143" s="34" t="str">
        <f ca="1">IFERROR(IF(AND(MASTER!$K$1=MASTER!$N$2,MASTER!K143="X"),"",IF(AND(MASTER!$J$1=MASTER!$N$2,MASTER!J143="X"),"",IF(AND(MASTER!$I$1=MASTER!$N$2,MASTER!I143="X"),"",IF(AND(MASTER!$H$1=MASTER!$N$2,MASTER!H143="X"),"",IF(AND(MASTER!$G$1=MASTER!$N$2,MASTER!G143="X"),"",IF(AND(MASTER!$F$1=MASTER!$N$2,MASTER!F143="X"),"",IF(AND(MASTER!$E$1=MASTER!$N$2,MASTER!E143="X"),"",IF(AND($Q$2&lt;&gt;D143,$Q$2&lt;&gt;E143,$Q$2&lt;&gt;F143,I143="2 to 10",J143=FALSE,K143=FALSE),B143,"")))))))), "")</f>
        <v/>
      </c>
      <c r="N143" s="44" t="str">
        <f ca="1">IFERROR(IF(AND(MASTER!$K$1=MASTER!$N$2,MASTER!K143="X"),"",IF(AND(MASTER!$J$1=MASTER!$N$2,MASTER!J143="X"),"",IF(AND(MASTER!$I$1=MASTER!$N$2,MASTER!I143="X"),"",IF(AND(MASTER!$H$1=MASTER!$N$2,MASTER!H143="X"),"",IF(AND(MASTER!$G$1=MASTER!$N$2,MASTER!G143="X"),"",IF(AND(MASTER!$F$1=MASTER!$N$2,MASTER!F143="X"),"",IF(AND(MASTER!$E$1=MASTER!$N$2,MASTER!E143="X"),"",IF(AND($Q$2&lt;&gt;D143,$Q$2&lt;&gt;E143,$Q$2&lt;&gt;F143,I143="10 to 6",J143=FALSE,K143=FALSE),B143,"")))))))), "")</f>
        <v/>
      </c>
    </row>
    <row r="144" spans="3:14" x14ac:dyDescent="0.2">
      <c r="C144"/>
      <c r="G144"/>
      <c r="J144"/>
      <c r="L144" s="30" t="str">
        <f ca="1">IFERROR(IF(AND(MASTER!$K$1=MASTER!$N$2,MASTER!K144="X"),"",IF(AND(MASTER!$J$1=MASTER!$N$2,MASTER!J144="X"),"",IF(AND(MASTER!$I$1=MASTER!$N$2,MASTER!I144="X"),"",IF(AND(MASTER!$H$1=MASTER!$N$2,MASTER!H144="X"),"",IF(AND(MASTER!$G$1=MASTER!$N$2,MASTER!G144="X"),"",IF(AND(MASTER!$F$1=MASTER!$N$2,MASTER!F144="X"),"",IF(AND(MASTER!$E$1=MASTER!$N$2,MASTER!E144="X"),"",IF(AND($Q$2&lt;&gt;D144,$Q$2&lt;&gt;E144,$Q$2&lt;&gt;F144,I144="6 to 2",J144=FALSE,K144=FALSE),B144,"")))))))), "")</f>
        <v/>
      </c>
      <c r="M144" s="34" t="str">
        <f ca="1">IFERROR(IF(AND(MASTER!$K$1=MASTER!$N$2,MASTER!K144="X"),"",IF(AND(MASTER!$J$1=MASTER!$N$2,MASTER!J144="X"),"",IF(AND(MASTER!$I$1=MASTER!$N$2,MASTER!I144="X"),"",IF(AND(MASTER!$H$1=MASTER!$N$2,MASTER!H144="X"),"",IF(AND(MASTER!$G$1=MASTER!$N$2,MASTER!G144="X"),"",IF(AND(MASTER!$F$1=MASTER!$N$2,MASTER!F144="X"),"",IF(AND(MASTER!$E$1=MASTER!$N$2,MASTER!E144="X"),"",IF(AND($Q$2&lt;&gt;D144,$Q$2&lt;&gt;E144,$Q$2&lt;&gt;F144,I144="2 to 10",J144=FALSE,K144=FALSE),B144,"")))))))), "")</f>
        <v/>
      </c>
      <c r="N144" s="44" t="str">
        <f ca="1">IFERROR(IF(AND(MASTER!$K$1=MASTER!$N$2,MASTER!K144="X"),"",IF(AND(MASTER!$J$1=MASTER!$N$2,MASTER!J144="X"),"",IF(AND(MASTER!$I$1=MASTER!$N$2,MASTER!I144="X"),"",IF(AND(MASTER!$H$1=MASTER!$N$2,MASTER!H144="X"),"",IF(AND(MASTER!$G$1=MASTER!$N$2,MASTER!G144="X"),"",IF(AND(MASTER!$F$1=MASTER!$N$2,MASTER!F144="X"),"",IF(AND(MASTER!$E$1=MASTER!$N$2,MASTER!E144="X"),"",IF(AND($Q$2&lt;&gt;D144,$Q$2&lt;&gt;E144,$Q$2&lt;&gt;F144,I144="10 to 6",J144=FALSE,K144=FALSE),B144,"")))))))), "")</f>
        <v/>
      </c>
    </row>
    <row r="145" spans="3:14" x14ac:dyDescent="0.2">
      <c r="C145"/>
      <c r="G145"/>
      <c r="J145"/>
      <c r="L145" s="30" t="str">
        <f ca="1">IFERROR(IF(AND(MASTER!$K$1=MASTER!$N$2,MASTER!K145="X"),"",IF(AND(MASTER!$J$1=MASTER!$N$2,MASTER!J145="X"),"",IF(AND(MASTER!$I$1=MASTER!$N$2,MASTER!I145="X"),"",IF(AND(MASTER!$H$1=MASTER!$N$2,MASTER!H145="X"),"",IF(AND(MASTER!$G$1=MASTER!$N$2,MASTER!G145="X"),"",IF(AND(MASTER!$F$1=MASTER!$N$2,MASTER!F145="X"),"",IF(AND(MASTER!$E$1=MASTER!$N$2,MASTER!E145="X"),"",IF(AND($Q$2&lt;&gt;D145,$Q$2&lt;&gt;E145,$Q$2&lt;&gt;F145,I145="6 to 2",J145=FALSE,K145=FALSE),B145,"")))))))), "")</f>
        <v/>
      </c>
      <c r="M145" s="34" t="str">
        <f ca="1">IFERROR(IF(AND(MASTER!$K$1=MASTER!$N$2,MASTER!K145="X"),"",IF(AND(MASTER!$J$1=MASTER!$N$2,MASTER!J145="X"),"",IF(AND(MASTER!$I$1=MASTER!$N$2,MASTER!I145="X"),"",IF(AND(MASTER!$H$1=MASTER!$N$2,MASTER!H145="X"),"",IF(AND(MASTER!$G$1=MASTER!$N$2,MASTER!G145="X"),"",IF(AND(MASTER!$F$1=MASTER!$N$2,MASTER!F145="X"),"",IF(AND(MASTER!$E$1=MASTER!$N$2,MASTER!E145="X"),"",IF(AND($Q$2&lt;&gt;D145,$Q$2&lt;&gt;E145,$Q$2&lt;&gt;F145,I145="2 to 10",J145=FALSE,K145=FALSE),B145,"")))))))), "")</f>
        <v/>
      </c>
      <c r="N145" s="44" t="str">
        <f ca="1">IFERROR(IF(AND(MASTER!$K$1=MASTER!$N$2,MASTER!K145="X"),"",IF(AND(MASTER!$J$1=MASTER!$N$2,MASTER!J145="X"),"",IF(AND(MASTER!$I$1=MASTER!$N$2,MASTER!I145="X"),"",IF(AND(MASTER!$H$1=MASTER!$N$2,MASTER!H145="X"),"",IF(AND(MASTER!$G$1=MASTER!$N$2,MASTER!G145="X"),"",IF(AND(MASTER!$F$1=MASTER!$N$2,MASTER!F145="X"),"",IF(AND(MASTER!$E$1=MASTER!$N$2,MASTER!E145="X"),"",IF(AND($Q$2&lt;&gt;D145,$Q$2&lt;&gt;E145,$Q$2&lt;&gt;F145,I145="10 to 6",J145=FALSE,K145=FALSE),B145,"")))))))), "")</f>
        <v/>
      </c>
    </row>
    <row r="146" spans="3:14" x14ac:dyDescent="0.2">
      <c r="C146"/>
      <c r="G146"/>
      <c r="J146"/>
      <c r="L146" s="30" t="str">
        <f ca="1">IFERROR(IF(AND(MASTER!$K$1=MASTER!$N$2,MASTER!K146="X"),"",IF(AND(MASTER!$J$1=MASTER!$N$2,MASTER!J146="X"),"",IF(AND(MASTER!$I$1=MASTER!$N$2,MASTER!I146="X"),"",IF(AND(MASTER!$H$1=MASTER!$N$2,MASTER!H146="X"),"",IF(AND(MASTER!$G$1=MASTER!$N$2,MASTER!G146="X"),"",IF(AND(MASTER!$F$1=MASTER!$N$2,MASTER!F146="X"),"",IF(AND(MASTER!$E$1=MASTER!$N$2,MASTER!E146="X"),"",IF(AND($Q$2&lt;&gt;D146,$Q$2&lt;&gt;E146,$Q$2&lt;&gt;F146,I146="6 to 2",J146=FALSE,K146=FALSE),B146,"")))))))), "")</f>
        <v/>
      </c>
      <c r="M146" s="34" t="str">
        <f ca="1">IFERROR(IF(AND(MASTER!$K$1=MASTER!$N$2,MASTER!K146="X"),"",IF(AND(MASTER!$J$1=MASTER!$N$2,MASTER!J146="X"),"",IF(AND(MASTER!$I$1=MASTER!$N$2,MASTER!I146="X"),"",IF(AND(MASTER!$H$1=MASTER!$N$2,MASTER!H146="X"),"",IF(AND(MASTER!$G$1=MASTER!$N$2,MASTER!G146="X"),"",IF(AND(MASTER!$F$1=MASTER!$N$2,MASTER!F146="X"),"",IF(AND(MASTER!$E$1=MASTER!$N$2,MASTER!E146="X"),"",IF(AND($Q$2&lt;&gt;D146,$Q$2&lt;&gt;E146,$Q$2&lt;&gt;F146,I146="2 to 10",J146=FALSE,K146=FALSE),B146,"")))))))), "")</f>
        <v/>
      </c>
      <c r="N146" s="44" t="str">
        <f ca="1">IFERROR(IF(AND(MASTER!$K$1=MASTER!$N$2,MASTER!K146="X"),"",IF(AND(MASTER!$J$1=MASTER!$N$2,MASTER!J146="X"),"",IF(AND(MASTER!$I$1=MASTER!$N$2,MASTER!I146="X"),"",IF(AND(MASTER!$H$1=MASTER!$N$2,MASTER!H146="X"),"",IF(AND(MASTER!$G$1=MASTER!$N$2,MASTER!G146="X"),"",IF(AND(MASTER!$F$1=MASTER!$N$2,MASTER!F146="X"),"",IF(AND(MASTER!$E$1=MASTER!$N$2,MASTER!E146="X"),"",IF(AND($Q$2&lt;&gt;D146,$Q$2&lt;&gt;E146,$Q$2&lt;&gt;F146,I146="10 to 6",J146=FALSE,K146=FALSE),B146,"")))))))), "")</f>
        <v/>
      </c>
    </row>
    <row r="147" spans="3:14" x14ac:dyDescent="0.2">
      <c r="C147"/>
      <c r="G147"/>
      <c r="J147"/>
      <c r="L147" s="30" t="str">
        <f ca="1">IFERROR(IF(AND(MASTER!$K$1=MASTER!$N$2,MASTER!K147="X"),"",IF(AND(MASTER!$J$1=MASTER!$N$2,MASTER!J147="X"),"",IF(AND(MASTER!$I$1=MASTER!$N$2,MASTER!I147="X"),"",IF(AND(MASTER!$H$1=MASTER!$N$2,MASTER!H147="X"),"",IF(AND(MASTER!$G$1=MASTER!$N$2,MASTER!G147="X"),"",IF(AND(MASTER!$F$1=MASTER!$N$2,MASTER!F147="X"),"",IF(AND(MASTER!$E$1=MASTER!$N$2,MASTER!E147="X"),"",IF(AND($Q$2&lt;&gt;D147,$Q$2&lt;&gt;E147,$Q$2&lt;&gt;F147,I147="6 to 2",J147=FALSE,K147=FALSE),B147,"")))))))), "")</f>
        <v/>
      </c>
      <c r="M147" s="34" t="str">
        <f ca="1">IFERROR(IF(AND(MASTER!$K$1=MASTER!$N$2,MASTER!K147="X"),"",IF(AND(MASTER!$J$1=MASTER!$N$2,MASTER!J147="X"),"",IF(AND(MASTER!$I$1=MASTER!$N$2,MASTER!I147="X"),"",IF(AND(MASTER!$H$1=MASTER!$N$2,MASTER!H147="X"),"",IF(AND(MASTER!$G$1=MASTER!$N$2,MASTER!G147="X"),"",IF(AND(MASTER!$F$1=MASTER!$N$2,MASTER!F147="X"),"",IF(AND(MASTER!$E$1=MASTER!$N$2,MASTER!E147="X"),"",IF(AND($Q$2&lt;&gt;D147,$Q$2&lt;&gt;E147,$Q$2&lt;&gt;F147,I147="2 to 10",J147=FALSE,K147=FALSE),B147,"")))))))), "")</f>
        <v/>
      </c>
      <c r="N147" s="44" t="str">
        <f ca="1">IFERROR(IF(AND(MASTER!$K$1=MASTER!$N$2,MASTER!K147="X"),"",IF(AND(MASTER!$J$1=MASTER!$N$2,MASTER!J147="X"),"",IF(AND(MASTER!$I$1=MASTER!$N$2,MASTER!I147="X"),"",IF(AND(MASTER!$H$1=MASTER!$N$2,MASTER!H147="X"),"",IF(AND(MASTER!$G$1=MASTER!$N$2,MASTER!G147="X"),"",IF(AND(MASTER!$F$1=MASTER!$N$2,MASTER!F147="X"),"",IF(AND(MASTER!$E$1=MASTER!$N$2,MASTER!E147="X"),"",IF(AND($Q$2&lt;&gt;D147,$Q$2&lt;&gt;E147,$Q$2&lt;&gt;F147,I147="10 to 6",J147=FALSE,K147=FALSE),B147,"")))))))), "")</f>
        <v/>
      </c>
    </row>
    <row r="148" spans="3:14" x14ac:dyDescent="0.2">
      <c r="C148"/>
      <c r="G148"/>
      <c r="J148"/>
      <c r="L148" s="30" t="str">
        <f ca="1">IFERROR(IF(AND(MASTER!$K$1=MASTER!$N$2,MASTER!K148="X"),"",IF(AND(MASTER!$J$1=MASTER!$N$2,MASTER!J148="X"),"",IF(AND(MASTER!$I$1=MASTER!$N$2,MASTER!I148="X"),"",IF(AND(MASTER!$H$1=MASTER!$N$2,MASTER!H148="X"),"",IF(AND(MASTER!$G$1=MASTER!$N$2,MASTER!G148="X"),"",IF(AND(MASTER!$F$1=MASTER!$N$2,MASTER!F148="X"),"",IF(AND(MASTER!$E$1=MASTER!$N$2,MASTER!E148="X"),"",IF(AND($Q$2&lt;&gt;D148,$Q$2&lt;&gt;E148,$Q$2&lt;&gt;F148,I148="6 to 2",J148=FALSE,K148=FALSE),B148,"")))))))), "")</f>
        <v/>
      </c>
      <c r="M148" s="34" t="str">
        <f ca="1">IFERROR(IF(AND(MASTER!$K$1=MASTER!$N$2,MASTER!K148="X"),"",IF(AND(MASTER!$J$1=MASTER!$N$2,MASTER!J148="X"),"",IF(AND(MASTER!$I$1=MASTER!$N$2,MASTER!I148="X"),"",IF(AND(MASTER!$H$1=MASTER!$N$2,MASTER!H148="X"),"",IF(AND(MASTER!$G$1=MASTER!$N$2,MASTER!G148="X"),"",IF(AND(MASTER!$F$1=MASTER!$N$2,MASTER!F148="X"),"",IF(AND(MASTER!$E$1=MASTER!$N$2,MASTER!E148="X"),"",IF(AND($Q$2&lt;&gt;D148,$Q$2&lt;&gt;E148,$Q$2&lt;&gt;F148,I148="2 to 10",J148=FALSE,K148=FALSE),B148,"")))))))), "")</f>
        <v/>
      </c>
      <c r="N148" s="44" t="str">
        <f ca="1">IFERROR(IF(AND(MASTER!$K$1=MASTER!$N$2,MASTER!K148="X"),"",IF(AND(MASTER!$J$1=MASTER!$N$2,MASTER!J148="X"),"",IF(AND(MASTER!$I$1=MASTER!$N$2,MASTER!I148="X"),"",IF(AND(MASTER!$H$1=MASTER!$N$2,MASTER!H148="X"),"",IF(AND(MASTER!$G$1=MASTER!$N$2,MASTER!G148="X"),"",IF(AND(MASTER!$F$1=MASTER!$N$2,MASTER!F148="X"),"",IF(AND(MASTER!$E$1=MASTER!$N$2,MASTER!E148="X"),"",IF(AND($Q$2&lt;&gt;D148,$Q$2&lt;&gt;E148,$Q$2&lt;&gt;F148,I148="10 to 6",J148=FALSE,K148=FALSE),B148,"")))))))), "")</f>
        <v/>
      </c>
    </row>
    <row r="149" spans="3:14" x14ac:dyDescent="0.2">
      <c r="C149"/>
      <c r="G149"/>
      <c r="J149"/>
      <c r="L149" s="30" t="str">
        <f ca="1">IFERROR(IF(AND(MASTER!$K$1=MASTER!$N$2,MASTER!K149="X"),"",IF(AND(MASTER!$J$1=MASTER!$N$2,MASTER!J149="X"),"",IF(AND(MASTER!$I$1=MASTER!$N$2,MASTER!I149="X"),"",IF(AND(MASTER!$H$1=MASTER!$N$2,MASTER!H149="X"),"",IF(AND(MASTER!$G$1=MASTER!$N$2,MASTER!G149="X"),"",IF(AND(MASTER!$F$1=MASTER!$N$2,MASTER!F149="X"),"",IF(AND(MASTER!$E$1=MASTER!$N$2,MASTER!E149="X"),"",IF(AND($Q$2&lt;&gt;D149,$Q$2&lt;&gt;E149,$Q$2&lt;&gt;F149,I149="6 to 2",J149=FALSE,K149=FALSE),B149,"")))))))), "")</f>
        <v/>
      </c>
      <c r="M149" s="34" t="str">
        <f ca="1">IFERROR(IF(AND(MASTER!$K$1=MASTER!$N$2,MASTER!K149="X"),"",IF(AND(MASTER!$J$1=MASTER!$N$2,MASTER!J149="X"),"",IF(AND(MASTER!$I$1=MASTER!$N$2,MASTER!I149="X"),"",IF(AND(MASTER!$H$1=MASTER!$N$2,MASTER!H149="X"),"",IF(AND(MASTER!$G$1=MASTER!$N$2,MASTER!G149="X"),"",IF(AND(MASTER!$F$1=MASTER!$N$2,MASTER!F149="X"),"",IF(AND(MASTER!$E$1=MASTER!$N$2,MASTER!E149="X"),"",IF(AND($Q$2&lt;&gt;D149,$Q$2&lt;&gt;E149,$Q$2&lt;&gt;F149,I149="2 to 10",J149=FALSE,K149=FALSE),B149,"")))))))), "")</f>
        <v/>
      </c>
      <c r="N149" s="44" t="str">
        <f ca="1">IFERROR(IF(AND(MASTER!$K$1=MASTER!$N$2,MASTER!K149="X"),"",IF(AND(MASTER!$J$1=MASTER!$N$2,MASTER!J149="X"),"",IF(AND(MASTER!$I$1=MASTER!$N$2,MASTER!I149="X"),"",IF(AND(MASTER!$H$1=MASTER!$N$2,MASTER!H149="X"),"",IF(AND(MASTER!$G$1=MASTER!$N$2,MASTER!G149="X"),"",IF(AND(MASTER!$F$1=MASTER!$N$2,MASTER!F149="X"),"",IF(AND(MASTER!$E$1=MASTER!$N$2,MASTER!E149="X"),"",IF(AND($Q$2&lt;&gt;D149,$Q$2&lt;&gt;E149,$Q$2&lt;&gt;F149,I149="10 to 6",J149=FALSE,K149=FALSE),B149,"")))))))), "")</f>
        <v/>
      </c>
    </row>
    <row r="150" spans="3:14" x14ac:dyDescent="0.2">
      <c r="C150"/>
      <c r="G150"/>
      <c r="J150"/>
      <c r="L150" s="30" t="str">
        <f ca="1">IFERROR(IF(AND(MASTER!$K$1=MASTER!$N$2,MASTER!K150="X"),"",IF(AND(MASTER!$J$1=MASTER!$N$2,MASTER!J150="X"),"",IF(AND(MASTER!$I$1=MASTER!$N$2,MASTER!I150="X"),"",IF(AND(MASTER!$H$1=MASTER!$N$2,MASTER!H150="X"),"",IF(AND(MASTER!$G$1=MASTER!$N$2,MASTER!G150="X"),"",IF(AND(MASTER!$F$1=MASTER!$N$2,MASTER!F150="X"),"",IF(AND(MASTER!$E$1=MASTER!$N$2,MASTER!E150="X"),"",IF(AND($Q$2&lt;&gt;D150,$Q$2&lt;&gt;E150,$Q$2&lt;&gt;F150,I150="6 to 2",J150=FALSE,K150=FALSE),B150,"")))))))), "")</f>
        <v/>
      </c>
      <c r="M150" s="34" t="str">
        <f ca="1">IFERROR(IF(AND(MASTER!$K$1=MASTER!$N$2,MASTER!K150="X"),"",IF(AND(MASTER!$J$1=MASTER!$N$2,MASTER!J150="X"),"",IF(AND(MASTER!$I$1=MASTER!$N$2,MASTER!I150="X"),"",IF(AND(MASTER!$H$1=MASTER!$N$2,MASTER!H150="X"),"",IF(AND(MASTER!$G$1=MASTER!$N$2,MASTER!G150="X"),"",IF(AND(MASTER!$F$1=MASTER!$N$2,MASTER!F150="X"),"",IF(AND(MASTER!$E$1=MASTER!$N$2,MASTER!E150="X"),"",IF(AND($Q$2&lt;&gt;D150,$Q$2&lt;&gt;E150,$Q$2&lt;&gt;F150,I150="2 to 10",J150=FALSE,K150=FALSE),B150,"")))))))), "")</f>
        <v/>
      </c>
      <c r="N150" s="44" t="str">
        <f ca="1">IFERROR(IF(AND(MASTER!$K$1=MASTER!$N$2,MASTER!K150="X"),"",IF(AND(MASTER!$J$1=MASTER!$N$2,MASTER!J150="X"),"",IF(AND(MASTER!$I$1=MASTER!$N$2,MASTER!I150="X"),"",IF(AND(MASTER!$H$1=MASTER!$N$2,MASTER!H150="X"),"",IF(AND(MASTER!$G$1=MASTER!$N$2,MASTER!G150="X"),"",IF(AND(MASTER!$F$1=MASTER!$N$2,MASTER!F150="X"),"",IF(AND(MASTER!$E$1=MASTER!$N$2,MASTER!E150="X"),"",IF(AND($Q$2&lt;&gt;D150,$Q$2&lt;&gt;E150,$Q$2&lt;&gt;F150,I150="10 to 6",J150=FALSE,K150=FALSE),B150,"")))))))), "")</f>
        <v/>
      </c>
    </row>
    <row r="151" spans="3:14" x14ac:dyDescent="0.2">
      <c r="C151"/>
      <c r="G151"/>
      <c r="J151"/>
      <c r="L151" s="30" t="str">
        <f ca="1">IFERROR(IF(AND(MASTER!$K$1=MASTER!$N$2,MASTER!K151="X"),"",IF(AND(MASTER!$J$1=MASTER!$N$2,MASTER!J151="X"),"",IF(AND(MASTER!$I$1=MASTER!$N$2,MASTER!I151="X"),"",IF(AND(MASTER!$H$1=MASTER!$N$2,MASTER!H151="X"),"",IF(AND(MASTER!$G$1=MASTER!$N$2,MASTER!G151="X"),"",IF(AND(MASTER!$F$1=MASTER!$N$2,MASTER!F151="X"),"",IF(AND(MASTER!$E$1=MASTER!$N$2,MASTER!E151="X"),"",IF(AND($Q$2&lt;&gt;D151,$Q$2&lt;&gt;E151,$Q$2&lt;&gt;F151,I151="6 to 2",J151=FALSE,K151=FALSE),B151,"")))))))), "")</f>
        <v/>
      </c>
      <c r="M151" s="34" t="str">
        <f ca="1">IFERROR(IF(AND(MASTER!$K$1=MASTER!$N$2,MASTER!K151="X"),"",IF(AND(MASTER!$J$1=MASTER!$N$2,MASTER!J151="X"),"",IF(AND(MASTER!$I$1=MASTER!$N$2,MASTER!I151="X"),"",IF(AND(MASTER!$H$1=MASTER!$N$2,MASTER!H151="X"),"",IF(AND(MASTER!$G$1=MASTER!$N$2,MASTER!G151="X"),"",IF(AND(MASTER!$F$1=MASTER!$N$2,MASTER!F151="X"),"",IF(AND(MASTER!$E$1=MASTER!$N$2,MASTER!E151="X"),"",IF(AND($Q$2&lt;&gt;D151,$Q$2&lt;&gt;E151,$Q$2&lt;&gt;F151,I151="2 to 10",J151=FALSE,K151=FALSE),B151,"")))))))), "")</f>
        <v/>
      </c>
      <c r="N151" s="44" t="str">
        <f ca="1">IFERROR(IF(AND(MASTER!$K$1=MASTER!$N$2,MASTER!K151="X"),"",IF(AND(MASTER!$J$1=MASTER!$N$2,MASTER!J151="X"),"",IF(AND(MASTER!$I$1=MASTER!$N$2,MASTER!I151="X"),"",IF(AND(MASTER!$H$1=MASTER!$N$2,MASTER!H151="X"),"",IF(AND(MASTER!$G$1=MASTER!$N$2,MASTER!G151="X"),"",IF(AND(MASTER!$F$1=MASTER!$N$2,MASTER!F151="X"),"",IF(AND(MASTER!$E$1=MASTER!$N$2,MASTER!E151="X"),"",IF(AND($Q$2&lt;&gt;D151,$Q$2&lt;&gt;E151,$Q$2&lt;&gt;F151,I151="10 to 6",J151=FALSE,K151=FALSE),B151,"")))))))), "")</f>
        <v/>
      </c>
    </row>
    <row r="152" spans="3:14" x14ac:dyDescent="0.2">
      <c r="C152"/>
      <c r="G152"/>
      <c r="J152"/>
      <c r="L152" s="30" t="str">
        <f ca="1">IFERROR(IF(AND(MASTER!$K$1=MASTER!$N$2,MASTER!K152="X"),"",IF(AND(MASTER!$J$1=MASTER!$N$2,MASTER!J152="X"),"",IF(AND(MASTER!$I$1=MASTER!$N$2,MASTER!I152="X"),"",IF(AND(MASTER!$H$1=MASTER!$N$2,MASTER!H152="X"),"",IF(AND(MASTER!$G$1=MASTER!$N$2,MASTER!G152="X"),"",IF(AND(MASTER!$F$1=MASTER!$N$2,MASTER!F152="X"),"",IF(AND(MASTER!$E$1=MASTER!$N$2,MASTER!E152="X"),"",IF(AND($Q$2&lt;&gt;D152,$Q$2&lt;&gt;E152,$Q$2&lt;&gt;F152,I152="6 to 2",J152=FALSE,K152=FALSE),B152,"")))))))), "")</f>
        <v/>
      </c>
      <c r="M152" s="34" t="str">
        <f ca="1">IFERROR(IF(AND(MASTER!$K$1=MASTER!$N$2,MASTER!K152="X"),"",IF(AND(MASTER!$J$1=MASTER!$N$2,MASTER!J152="X"),"",IF(AND(MASTER!$I$1=MASTER!$N$2,MASTER!I152="X"),"",IF(AND(MASTER!$H$1=MASTER!$N$2,MASTER!H152="X"),"",IF(AND(MASTER!$G$1=MASTER!$N$2,MASTER!G152="X"),"",IF(AND(MASTER!$F$1=MASTER!$N$2,MASTER!F152="X"),"",IF(AND(MASTER!$E$1=MASTER!$N$2,MASTER!E152="X"),"",IF(AND($Q$2&lt;&gt;D152,$Q$2&lt;&gt;E152,$Q$2&lt;&gt;F152,I152="2 to 10",J152=FALSE,K152=FALSE),B152,"")))))))), "")</f>
        <v/>
      </c>
      <c r="N152" s="44" t="str">
        <f ca="1">IFERROR(IF(AND(MASTER!$K$1=MASTER!$N$2,MASTER!K152="X"),"",IF(AND(MASTER!$J$1=MASTER!$N$2,MASTER!J152="X"),"",IF(AND(MASTER!$I$1=MASTER!$N$2,MASTER!I152="X"),"",IF(AND(MASTER!$H$1=MASTER!$N$2,MASTER!H152="X"),"",IF(AND(MASTER!$G$1=MASTER!$N$2,MASTER!G152="X"),"",IF(AND(MASTER!$F$1=MASTER!$N$2,MASTER!F152="X"),"",IF(AND(MASTER!$E$1=MASTER!$N$2,MASTER!E152="X"),"",IF(AND($Q$2&lt;&gt;D152,$Q$2&lt;&gt;E152,$Q$2&lt;&gt;F152,I152="10 to 6",J152=FALSE,K152=FALSE),B152,"")))))))), "")</f>
        <v/>
      </c>
    </row>
    <row r="153" spans="3:14" x14ac:dyDescent="0.2">
      <c r="C153"/>
      <c r="G153"/>
      <c r="J153"/>
      <c r="L153" s="30" t="str">
        <f ca="1">IFERROR(IF(AND(MASTER!$K$1=MASTER!$N$2,MASTER!K153="X"),"",IF(AND(MASTER!$J$1=MASTER!$N$2,MASTER!J153="X"),"",IF(AND(MASTER!$I$1=MASTER!$N$2,MASTER!I153="X"),"",IF(AND(MASTER!$H$1=MASTER!$N$2,MASTER!H153="X"),"",IF(AND(MASTER!$G$1=MASTER!$N$2,MASTER!G153="X"),"",IF(AND(MASTER!$F$1=MASTER!$N$2,MASTER!F153="X"),"",IF(AND(MASTER!$E$1=MASTER!$N$2,MASTER!E153="X"),"",IF(AND($Q$2&lt;&gt;D153,$Q$2&lt;&gt;E153,$Q$2&lt;&gt;F153,I153="6 to 2",J153=FALSE,K153=FALSE),B153,"")))))))), "")</f>
        <v/>
      </c>
      <c r="M153" s="34" t="str">
        <f ca="1">IFERROR(IF(AND(MASTER!$K$1=MASTER!$N$2,MASTER!K153="X"),"",IF(AND(MASTER!$J$1=MASTER!$N$2,MASTER!J153="X"),"",IF(AND(MASTER!$I$1=MASTER!$N$2,MASTER!I153="X"),"",IF(AND(MASTER!$H$1=MASTER!$N$2,MASTER!H153="X"),"",IF(AND(MASTER!$G$1=MASTER!$N$2,MASTER!G153="X"),"",IF(AND(MASTER!$F$1=MASTER!$N$2,MASTER!F153="X"),"",IF(AND(MASTER!$E$1=MASTER!$N$2,MASTER!E153="X"),"",IF(AND($Q$2&lt;&gt;D153,$Q$2&lt;&gt;E153,$Q$2&lt;&gt;F153,I153="2 to 10",J153=FALSE,K153=FALSE),B153,"")))))))), "")</f>
        <v/>
      </c>
      <c r="N153" s="44" t="str">
        <f ca="1">IFERROR(IF(AND(MASTER!$K$1=MASTER!$N$2,MASTER!K153="X"),"",IF(AND(MASTER!$J$1=MASTER!$N$2,MASTER!J153="X"),"",IF(AND(MASTER!$I$1=MASTER!$N$2,MASTER!I153="X"),"",IF(AND(MASTER!$H$1=MASTER!$N$2,MASTER!H153="X"),"",IF(AND(MASTER!$G$1=MASTER!$N$2,MASTER!G153="X"),"",IF(AND(MASTER!$F$1=MASTER!$N$2,MASTER!F153="X"),"",IF(AND(MASTER!$E$1=MASTER!$N$2,MASTER!E153="X"),"",IF(AND($Q$2&lt;&gt;D153,$Q$2&lt;&gt;E153,$Q$2&lt;&gt;F153,I153="10 to 6",J153=FALSE,K153=FALSE),B153,"")))))))), "")</f>
        <v/>
      </c>
    </row>
    <row r="154" spans="3:14" x14ac:dyDescent="0.2">
      <c r="C154"/>
      <c r="G154"/>
      <c r="J154"/>
      <c r="L154" s="30" t="str">
        <f ca="1">IFERROR(IF(AND(MASTER!$K$1=MASTER!$N$2,MASTER!K154="X"),"",IF(AND(MASTER!$J$1=MASTER!$N$2,MASTER!J154="X"),"",IF(AND(MASTER!$I$1=MASTER!$N$2,MASTER!I154="X"),"",IF(AND(MASTER!$H$1=MASTER!$N$2,MASTER!H154="X"),"",IF(AND(MASTER!$G$1=MASTER!$N$2,MASTER!G154="X"),"",IF(AND(MASTER!$F$1=MASTER!$N$2,MASTER!F154="X"),"",IF(AND(MASTER!$E$1=MASTER!$N$2,MASTER!E154="X"),"",IF(AND($Q$2&lt;&gt;D154,$Q$2&lt;&gt;E154,$Q$2&lt;&gt;F154,I154="6 to 2",J154=FALSE,K154=FALSE),B154,"")))))))), "")</f>
        <v/>
      </c>
      <c r="M154" s="34" t="str">
        <f ca="1">IFERROR(IF(AND(MASTER!$K$1=MASTER!$N$2,MASTER!K154="X"),"",IF(AND(MASTER!$J$1=MASTER!$N$2,MASTER!J154="X"),"",IF(AND(MASTER!$I$1=MASTER!$N$2,MASTER!I154="X"),"",IF(AND(MASTER!$H$1=MASTER!$N$2,MASTER!H154="X"),"",IF(AND(MASTER!$G$1=MASTER!$N$2,MASTER!G154="X"),"",IF(AND(MASTER!$F$1=MASTER!$N$2,MASTER!F154="X"),"",IF(AND(MASTER!$E$1=MASTER!$N$2,MASTER!E154="X"),"",IF(AND($Q$2&lt;&gt;D154,$Q$2&lt;&gt;E154,$Q$2&lt;&gt;F154,I154="2 to 10",J154=FALSE,K154=FALSE),B154,"")))))))), "")</f>
        <v/>
      </c>
      <c r="N154" s="44" t="str">
        <f ca="1">IFERROR(IF(AND(MASTER!$K$1=MASTER!$N$2,MASTER!K154="X"),"",IF(AND(MASTER!$J$1=MASTER!$N$2,MASTER!J154="X"),"",IF(AND(MASTER!$I$1=MASTER!$N$2,MASTER!I154="X"),"",IF(AND(MASTER!$H$1=MASTER!$N$2,MASTER!H154="X"),"",IF(AND(MASTER!$G$1=MASTER!$N$2,MASTER!G154="X"),"",IF(AND(MASTER!$F$1=MASTER!$N$2,MASTER!F154="X"),"",IF(AND(MASTER!$E$1=MASTER!$N$2,MASTER!E154="X"),"",IF(AND($Q$2&lt;&gt;D154,$Q$2&lt;&gt;E154,$Q$2&lt;&gt;F154,I154="10 to 6",J154=FALSE,K154=FALSE),B154,"")))))))), "")</f>
        <v/>
      </c>
    </row>
    <row r="155" spans="3:14" x14ac:dyDescent="0.2">
      <c r="C155"/>
      <c r="G155"/>
      <c r="J155"/>
      <c r="L155" s="30" t="str">
        <f ca="1">IFERROR(IF(AND(MASTER!$K$1=MASTER!$N$2,MASTER!K155="X"),"",IF(AND(MASTER!$J$1=MASTER!$N$2,MASTER!J155="X"),"",IF(AND(MASTER!$I$1=MASTER!$N$2,MASTER!I155="X"),"",IF(AND(MASTER!$H$1=MASTER!$N$2,MASTER!H155="X"),"",IF(AND(MASTER!$G$1=MASTER!$N$2,MASTER!G155="X"),"",IF(AND(MASTER!$F$1=MASTER!$N$2,MASTER!F155="X"),"",IF(AND(MASTER!$E$1=MASTER!$N$2,MASTER!E155="X"),"",IF(AND($Q$2&lt;&gt;D155,$Q$2&lt;&gt;E155,$Q$2&lt;&gt;F155,I155="6 to 2",J155=FALSE,K155=FALSE),B155,"")))))))), "")</f>
        <v/>
      </c>
      <c r="M155" s="34" t="str">
        <f ca="1">IFERROR(IF(AND(MASTER!$K$1=MASTER!$N$2,MASTER!K155="X"),"",IF(AND(MASTER!$J$1=MASTER!$N$2,MASTER!J155="X"),"",IF(AND(MASTER!$I$1=MASTER!$N$2,MASTER!I155="X"),"",IF(AND(MASTER!$H$1=MASTER!$N$2,MASTER!H155="X"),"",IF(AND(MASTER!$G$1=MASTER!$N$2,MASTER!G155="X"),"",IF(AND(MASTER!$F$1=MASTER!$N$2,MASTER!F155="X"),"",IF(AND(MASTER!$E$1=MASTER!$N$2,MASTER!E155="X"),"",IF(AND($Q$2&lt;&gt;D155,$Q$2&lt;&gt;E155,$Q$2&lt;&gt;F155,I155="2 to 10",J155=FALSE,K155=FALSE),B155,"")))))))), "")</f>
        <v/>
      </c>
      <c r="N155" s="44" t="str">
        <f ca="1">IFERROR(IF(AND(MASTER!$K$1=MASTER!$N$2,MASTER!K155="X"),"",IF(AND(MASTER!$J$1=MASTER!$N$2,MASTER!J155="X"),"",IF(AND(MASTER!$I$1=MASTER!$N$2,MASTER!I155="X"),"",IF(AND(MASTER!$H$1=MASTER!$N$2,MASTER!H155="X"),"",IF(AND(MASTER!$G$1=MASTER!$N$2,MASTER!G155="X"),"",IF(AND(MASTER!$F$1=MASTER!$N$2,MASTER!F155="X"),"",IF(AND(MASTER!$E$1=MASTER!$N$2,MASTER!E155="X"),"",IF(AND($Q$2&lt;&gt;D155,$Q$2&lt;&gt;E155,$Q$2&lt;&gt;F155,I155="10 to 6",J155=FALSE,K155=FALSE),B155,"")))))))), "")</f>
        <v/>
      </c>
    </row>
    <row r="156" spans="3:14" x14ac:dyDescent="0.2">
      <c r="C156"/>
      <c r="G156"/>
      <c r="J156"/>
      <c r="L156" s="30" t="str">
        <f ca="1">IFERROR(IF(AND(MASTER!$K$1=MASTER!$N$2,MASTER!K156="X"),"",IF(AND(MASTER!$J$1=MASTER!$N$2,MASTER!J156="X"),"",IF(AND(MASTER!$I$1=MASTER!$N$2,MASTER!I156="X"),"",IF(AND(MASTER!$H$1=MASTER!$N$2,MASTER!H156="X"),"",IF(AND(MASTER!$G$1=MASTER!$N$2,MASTER!G156="X"),"",IF(AND(MASTER!$F$1=MASTER!$N$2,MASTER!F156="X"),"",IF(AND(MASTER!$E$1=MASTER!$N$2,MASTER!E156="X"),"",IF(AND($Q$2&lt;&gt;D156,$Q$2&lt;&gt;E156,$Q$2&lt;&gt;F156,I156="6 to 2",J156=FALSE,K156=FALSE),B156,"")))))))), "")</f>
        <v/>
      </c>
      <c r="M156" s="34" t="str">
        <f ca="1">IFERROR(IF(AND(MASTER!$K$1=MASTER!$N$2,MASTER!K156="X"),"",IF(AND(MASTER!$J$1=MASTER!$N$2,MASTER!J156="X"),"",IF(AND(MASTER!$I$1=MASTER!$N$2,MASTER!I156="X"),"",IF(AND(MASTER!$H$1=MASTER!$N$2,MASTER!H156="X"),"",IF(AND(MASTER!$G$1=MASTER!$N$2,MASTER!G156="X"),"",IF(AND(MASTER!$F$1=MASTER!$N$2,MASTER!F156="X"),"",IF(AND(MASTER!$E$1=MASTER!$N$2,MASTER!E156="X"),"",IF(AND($Q$2&lt;&gt;D156,$Q$2&lt;&gt;E156,$Q$2&lt;&gt;F156,I156="2 to 10",J156=FALSE,K156=FALSE),B156,"")))))))), "")</f>
        <v/>
      </c>
      <c r="N156" s="44" t="str">
        <f ca="1">IFERROR(IF(AND(MASTER!$K$1=MASTER!$N$2,MASTER!K156="X"),"",IF(AND(MASTER!$J$1=MASTER!$N$2,MASTER!J156="X"),"",IF(AND(MASTER!$I$1=MASTER!$N$2,MASTER!I156="X"),"",IF(AND(MASTER!$H$1=MASTER!$N$2,MASTER!H156="X"),"",IF(AND(MASTER!$G$1=MASTER!$N$2,MASTER!G156="X"),"",IF(AND(MASTER!$F$1=MASTER!$N$2,MASTER!F156="X"),"",IF(AND(MASTER!$E$1=MASTER!$N$2,MASTER!E156="X"),"",IF(AND($Q$2&lt;&gt;D156,$Q$2&lt;&gt;E156,$Q$2&lt;&gt;F156,I156="10 to 6",J156=FALSE,K156=FALSE),B156,"")))))))), "")</f>
        <v/>
      </c>
    </row>
    <row r="157" spans="3:14" x14ac:dyDescent="0.2">
      <c r="C157"/>
      <c r="G157"/>
      <c r="J157"/>
      <c r="L157" s="30" t="str">
        <f ca="1">IFERROR(IF(AND(MASTER!$K$1=MASTER!$N$2,MASTER!K157="X"),"",IF(AND(MASTER!$J$1=MASTER!$N$2,MASTER!J157="X"),"",IF(AND(MASTER!$I$1=MASTER!$N$2,MASTER!I157="X"),"",IF(AND(MASTER!$H$1=MASTER!$N$2,MASTER!H157="X"),"",IF(AND(MASTER!$G$1=MASTER!$N$2,MASTER!G157="X"),"",IF(AND(MASTER!$F$1=MASTER!$N$2,MASTER!F157="X"),"",IF(AND(MASTER!$E$1=MASTER!$N$2,MASTER!E157="X"),"",IF(AND($Q$2&lt;&gt;D157,$Q$2&lt;&gt;E157,$Q$2&lt;&gt;F157,I157="6 to 2",J157=FALSE,K157=FALSE),B157,"")))))))), "")</f>
        <v/>
      </c>
      <c r="M157" s="34" t="str">
        <f ca="1">IFERROR(IF(AND(MASTER!$K$1=MASTER!$N$2,MASTER!K157="X"),"",IF(AND(MASTER!$J$1=MASTER!$N$2,MASTER!J157="X"),"",IF(AND(MASTER!$I$1=MASTER!$N$2,MASTER!I157="X"),"",IF(AND(MASTER!$H$1=MASTER!$N$2,MASTER!H157="X"),"",IF(AND(MASTER!$G$1=MASTER!$N$2,MASTER!G157="X"),"",IF(AND(MASTER!$F$1=MASTER!$N$2,MASTER!F157="X"),"",IF(AND(MASTER!$E$1=MASTER!$N$2,MASTER!E157="X"),"",IF(AND($Q$2&lt;&gt;D157,$Q$2&lt;&gt;E157,$Q$2&lt;&gt;F157,I157="2 to 10",J157=FALSE,K157=FALSE),B157,"")))))))), "")</f>
        <v/>
      </c>
      <c r="N157" s="44" t="str">
        <f ca="1">IFERROR(IF(AND(MASTER!$K$1=MASTER!$N$2,MASTER!K157="X"),"",IF(AND(MASTER!$J$1=MASTER!$N$2,MASTER!J157="X"),"",IF(AND(MASTER!$I$1=MASTER!$N$2,MASTER!I157="X"),"",IF(AND(MASTER!$H$1=MASTER!$N$2,MASTER!H157="X"),"",IF(AND(MASTER!$G$1=MASTER!$N$2,MASTER!G157="X"),"",IF(AND(MASTER!$F$1=MASTER!$N$2,MASTER!F157="X"),"",IF(AND(MASTER!$E$1=MASTER!$N$2,MASTER!E157="X"),"",IF(AND($Q$2&lt;&gt;D157,$Q$2&lt;&gt;E157,$Q$2&lt;&gt;F157,I157="10 to 6",J157=FALSE,K157=FALSE),B157,"")))))))), "")</f>
        <v/>
      </c>
    </row>
    <row r="158" spans="3:14" x14ac:dyDescent="0.2">
      <c r="C158"/>
      <c r="G158"/>
      <c r="J158"/>
      <c r="L158" s="30" t="str">
        <f ca="1">IFERROR(IF(AND(MASTER!$K$1=MASTER!$N$2,MASTER!K158="X"),"",IF(AND(MASTER!$J$1=MASTER!$N$2,MASTER!J158="X"),"",IF(AND(MASTER!$I$1=MASTER!$N$2,MASTER!I158="X"),"",IF(AND(MASTER!$H$1=MASTER!$N$2,MASTER!H158="X"),"",IF(AND(MASTER!$G$1=MASTER!$N$2,MASTER!G158="X"),"",IF(AND(MASTER!$F$1=MASTER!$N$2,MASTER!F158="X"),"",IF(AND(MASTER!$E$1=MASTER!$N$2,MASTER!E158="X"),"",IF(AND($Q$2&lt;&gt;D158,$Q$2&lt;&gt;E158,$Q$2&lt;&gt;F158,I158="6 to 2",J158=FALSE,K158=FALSE),B158,"")))))))), "")</f>
        <v/>
      </c>
      <c r="M158" s="34" t="str">
        <f ca="1">IFERROR(IF(AND(MASTER!$K$1=MASTER!$N$2,MASTER!K158="X"),"",IF(AND(MASTER!$J$1=MASTER!$N$2,MASTER!J158="X"),"",IF(AND(MASTER!$I$1=MASTER!$N$2,MASTER!I158="X"),"",IF(AND(MASTER!$H$1=MASTER!$N$2,MASTER!H158="X"),"",IF(AND(MASTER!$G$1=MASTER!$N$2,MASTER!G158="X"),"",IF(AND(MASTER!$F$1=MASTER!$N$2,MASTER!F158="X"),"",IF(AND(MASTER!$E$1=MASTER!$N$2,MASTER!E158="X"),"",IF(AND($Q$2&lt;&gt;D158,$Q$2&lt;&gt;E158,$Q$2&lt;&gt;F158,I158="2 to 10",J158=FALSE,K158=FALSE),B158,"")))))))), "")</f>
        <v/>
      </c>
      <c r="N158" s="44" t="str">
        <f ca="1">IFERROR(IF(AND(MASTER!$K$1=MASTER!$N$2,MASTER!K158="X"),"",IF(AND(MASTER!$J$1=MASTER!$N$2,MASTER!J158="X"),"",IF(AND(MASTER!$I$1=MASTER!$N$2,MASTER!I158="X"),"",IF(AND(MASTER!$H$1=MASTER!$N$2,MASTER!H158="X"),"",IF(AND(MASTER!$G$1=MASTER!$N$2,MASTER!G158="X"),"",IF(AND(MASTER!$F$1=MASTER!$N$2,MASTER!F158="X"),"",IF(AND(MASTER!$E$1=MASTER!$N$2,MASTER!E158="X"),"",IF(AND($Q$2&lt;&gt;D158,$Q$2&lt;&gt;E158,$Q$2&lt;&gt;F158,I158="10 to 6",J158=FALSE,K158=FALSE),B158,"")))))))), "")</f>
        <v/>
      </c>
    </row>
    <row r="159" spans="3:14" x14ac:dyDescent="0.2">
      <c r="C159"/>
      <c r="G159"/>
      <c r="J159"/>
      <c r="L159" s="30" t="str">
        <f ca="1">IFERROR(IF(AND(MASTER!$K$1=MASTER!$N$2,MASTER!K159="X"),"",IF(AND(MASTER!$J$1=MASTER!$N$2,MASTER!J159="X"),"",IF(AND(MASTER!$I$1=MASTER!$N$2,MASTER!I159="X"),"",IF(AND(MASTER!$H$1=MASTER!$N$2,MASTER!H159="X"),"",IF(AND(MASTER!$G$1=MASTER!$N$2,MASTER!G159="X"),"",IF(AND(MASTER!$F$1=MASTER!$N$2,MASTER!F159="X"),"",IF(AND(MASTER!$E$1=MASTER!$N$2,MASTER!E159="X"),"",IF(AND($Q$2&lt;&gt;D159,$Q$2&lt;&gt;E159,$Q$2&lt;&gt;F159,I159="6 to 2",J159=FALSE,K159=FALSE),B159,"")))))))), "")</f>
        <v/>
      </c>
      <c r="M159" s="34" t="str">
        <f ca="1">IFERROR(IF(AND(MASTER!$K$1=MASTER!$N$2,MASTER!K159="X"),"",IF(AND(MASTER!$J$1=MASTER!$N$2,MASTER!J159="X"),"",IF(AND(MASTER!$I$1=MASTER!$N$2,MASTER!I159="X"),"",IF(AND(MASTER!$H$1=MASTER!$N$2,MASTER!H159="X"),"",IF(AND(MASTER!$G$1=MASTER!$N$2,MASTER!G159="X"),"",IF(AND(MASTER!$F$1=MASTER!$N$2,MASTER!F159="X"),"",IF(AND(MASTER!$E$1=MASTER!$N$2,MASTER!E159="X"),"",IF(AND($Q$2&lt;&gt;D159,$Q$2&lt;&gt;E159,$Q$2&lt;&gt;F159,I159="2 to 10",J159=FALSE,K159=FALSE),B159,"")))))))), "")</f>
        <v/>
      </c>
      <c r="N159" s="44" t="str">
        <f ca="1">IFERROR(IF(AND(MASTER!$K$1=MASTER!$N$2,MASTER!K159="X"),"",IF(AND(MASTER!$J$1=MASTER!$N$2,MASTER!J159="X"),"",IF(AND(MASTER!$I$1=MASTER!$N$2,MASTER!I159="X"),"",IF(AND(MASTER!$H$1=MASTER!$N$2,MASTER!H159="X"),"",IF(AND(MASTER!$G$1=MASTER!$N$2,MASTER!G159="X"),"",IF(AND(MASTER!$F$1=MASTER!$N$2,MASTER!F159="X"),"",IF(AND(MASTER!$E$1=MASTER!$N$2,MASTER!E159="X"),"",IF(AND($Q$2&lt;&gt;D159,$Q$2&lt;&gt;E159,$Q$2&lt;&gt;F159,I159="10 to 6",J159=FALSE,K159=FALSE),B159,"")))))))), "")</f>
        <v/>
      </c>
    </row>
    <row r="160" spans="3:14" x14ac:dyDescent="0.2">
      <c r="C160"/>
      <c r="G160"/>
      <c r="J160"/>
      <c r="L160" s="30" t="str">
        <f ca="1">IFERROR(IF(AND(MASTER!$K$1=MASTER!$N$2,MASTER!K160="X"),"",IF(AND(MASTER!$J$1=MASTER!$N$2,MASTER!J160="X"),"",IF(AND(MASTER!$I$1=MASTER!$N$2,MASTER!I160="X"),"",IF(AND(MASTER!$H$1=MASTER!$N$2,MASTER!H160="X"),"",IF(AND(MASTER!$G$1=MASTER!$N$2,MASTER!G160="X"),"",IF(AND(MASTER!$F$1=MASTER!$N$2,MASTER!F160="X"),"",IF(AND(MASTER!$E$1=MASTER!$N$2,MASTER!E160="X"),"",IF(AND($Q$2&lt;&gt;D160,$Q$2&lt;&gt;E160,$Q$2&lt;&gt;F160,I160="6 to 2",J160=FALSE,K160=FALSE),B160,"")))))))), "")</f>
        <v/>
      </c>
      <c r="M160" s="34" t="str">
        <f ca="1">IFERROR(IF(AND(MASTER!$K$1=MASTER!$N$2,MASTER!K160="X"),"",IF(AND(MASTER!$J$1=MASTER!$N$2,MASTER!J160="X"),"",IF(AND(MASTER!$I$1=MASTER!$N$2,MASTER!I160="X"),"",IF(AND(MASTER!$H$1=MASTER!$N$2,MASTER!H160="X"),"",IF(AND(MASTER!$G$1=MASTER!$N$2,MASTER!G160="X"),"",IF(AND(MASTER!$F$1=MASTER!$N$2,MASTER!F160="X"),"",IF(AND(MASTER!$E$1=MASTER!$N$2,MASTER!E160="X"),"",IF(AND($Q$2&lt;&gt;D160,$Q$2&lt;&gt;E160,$Q$2&lt;&gt;F160,I160="2 to 10",J160=FALSE,K160=FALSE),B160,"")))))))), "")</f>
        <v/>
      </c>
      <c r="N160" s="44" t="str">
        <f ca="1">IFERROR(IF(AND(MASTER!$K$1=MASTER!$N$2,MASTER!K160="X"),"",IF(AND(MASTER!$J$1=MASTER!$N$2,MASTER!J160="X"),"",IF(AND(MASTER!$I$1=MASTER!$N$2,MASTER!I160="X"),"",IF(AND(MASTER!$H$1=MASTER!$N$2,MASTER!H160="X"),"",IF(AND(MASTER!$G$1=MASTER!$N$2,MASTER!G160="X"),"",IF(AND(MASTER!$F$1=MASTER!$N$2,MASTER!F160="X"),"",IF(AND(MASTER!$E$1=MASTER!$N$2,MASTER!E160="X"),"",IF(AND($Q$2&lt;&gt;D160,$Q$2&lt;&gt;E160,$Q$2&lt;&gt;F160,I160="10 to 6",J160=FALSE,K160=FALSE),B160,"")))))))), "")</f>
        <v/>
      </c>
    </row>
    <row r="161" spans="3:14" x14ac:dyDescent="0.2">
      <c r="C161"/>
      <c r="G161"/>
      <c r="J161"/>
      <c r="L161" s="30" t="str">
        <f ca="1">IFERROR(IF(AND(MASTER!$K$1=MASTER!$N$2,MASTER!K161="X"),"",IF(AND(MASTER!$J$1=MASTER!$N$2,MASTER!J161="X"),"",IF(AND(MASTER!$I$1=MASTER!$N$2,MASTER!I161="X"),"",IF(AND(MASTER!$H$1=MASTER!$N$2,MASTER!H161="X"),"",IF(AND(MASTER!$G$1=MASTER!$N$2,MASTER!G161="X"),"",IF(AND(MASTER!$F$1=MASTER!$N$2,MASTER!F161="X"),"",IF(AND(MASTER!$E$1=MASTER!$N$2,MASTER!E161="X"),"",IF(AND($Q$2&lt;&gt;D161,$Q$2&lt;&gt;E161,$Q$2&lt;&gt;F161,I161="6 to 2",J161=FALSE,K161=FALSE),B161,"")))))))), "")</f>
        <v/>
      </c>
      <c r="M161" s="34" t="str">
        <f ca="1">IFERROR(IF(AND(MASTER!$K$1=MASTER!$N$2,MASTER!K161="X"),"",IF(AND(MASTER!$J$1=MASTER!$N$2,MASTER!J161="X"),"",IF(AND(MASTER!$I$1=MASTER!$N$2,MASTER!I161="X"),"",IF(AND(MASTER!$H$1=MASTER!$N$2,MASTER!H161="X"),"",IF(AND(MASTER!$G$1=MASTER!$N$2,MASTER!G161="X"),"",IF(AND(MASTER!$F$1=MASTER!$N$2,MASTER!F161="X"),"",IF(AND(MASTER!$E$1=MASTER!$N$2,MASTER!E161="X"),"",IF(AND($Q$2&lt;&gt;D161,$Q$2&lt;&gt;E161,$Q$2&lt;&gt;F161,I161="2 to 10",J161=FALSE,K161=FALSE),B161,"")))))))), "")</f>
        <v/>
      </c>
      <c r="N161" s="44" t="str">
        <f ca="1">IFERROR(IF(AND(MASTER!$K$1=MASTER!$N$2,MASTER!K161="X"),"",IF(AND(MASTER!$J$1=MASTER!$N$2,MASTER!J161="X"),"",IF(AND(MASTER!$I$1=MASTER!$N$2,MASTER!I161="X"),"",IF(AND(MASTER!$H$1=MASTER!$N$2,MASTER!H161="X"),"",IF(AND(MASTER!$G$1=MASTER!$N$2,MASTER!G161="X"),"",IF(AND(MASTER!$F$1=MASTER!$N$2,MASTER!F161="X"),"",IF(AND(MASTER!$E$1=MASTER!$N$2,MASTER!E161="X"),"",IF(AND($Q$2&lt;&gt;D161,$Q$2&lt;&gt;E161,$Q$2&lt;&gt;F161,I161="10 to 6",J161=FALSE,K161=FALSE),B161,"")))))))), "")</f>
        <v/>
      </c>
    </row>
    <row r="162" spans="3:14" x14ac:dyDescent="0.2">
      <c r="C162"/>
      <c r="G162"/>
      <c r="J162"/>
      <c r="L162" s="30" t="str">
        <f ca="1">IFERROR(IF(AND(MASTER!$K$1=MASTER!$N$2,MASTER!K162="X"),"",IF(AND(MASTER!$J$1=MASTER!$N$2,MASTER!J162="X"),"",IF(AND(MASTER!$I$1=MASTER!$N$2,MASTER!I162="X"),"",IF(AND(MASTER!$H$1=MASTER!$N$2,MASTER!H162="X"),"",IF(AND(MASTER!$G$1=MASTER!$N$2,MASTER!G162="X"),"",IF(AND(MASTER!$F$1=MASTER!$N$2,MASTER!F162="X"),"",IF(AND(MASTER!$E$1=MASTER!$N$2,MASTER!E162="X"),"",IF(AND($Q$2&lt;&gt;D162,$Q$2&lt;&gt;E162,$Q$2&lt;&gt;F162,I162="6 to 2",J162=FALSE,K162=FALSE),B162,"")))))))), "")</f>
        <v/>
      </c>
      <c r="M162" s="34" t="str">
        <f ca="1">IFERROR(IF(AND(MASTER!$K$1=MASTER!$N$2,MASTER!K162="X"),"",IF(AND(MASTER!$J$1=MASTER!$N$2,MASTER!J162="X"),"",IF(AND(MASTER!$I$1=MASTER!$N$2,MASTER!I162="X"),"",IF(AND(MASTER!$H$1=MASTER!$N$2,MASTER!H162="X"),"",IF(AND(MASTER!$G$1=MASTER!$N$2,MASTER!G162="X"),"",IF(AND(MASTER!$F$1=MASTER!$N$2,MASTER!F162="X"),"",IF(AND(MASTER!$E$1=MASTER!$N$2,MASTER!E162="X"),"",IF(AND($Q$2&lt;&gt;D162,$Q$2&lt;&gt;E162,$Q$2&lt;&gt;F162,I162="2 to 10",J162=FALSE,K162=FALSE),B162,"")))))))), "")</f>
        <v/>
      </c>
      <c r="N162" s="44" t="str">
        <f ca="1">IFERROR(IF(AND(MASTER!$K$1=MASTER!$N$2,MASTER!K162="X"),"",IF(AND(MASTER!$J$1=MASTER!$N$2,MASTER!J162="X"),"",IF(AND(MASTER!$I$1=MASTER!$N$2,MASTER!I162="X"),"",IF(AND(MASTER!$H$1=MASTER!$N$2,MASTER!H162="X"),"",IF(AND(MASTER!$G$1=MASTER!$N$2,MASTER!G162="X"),"",IF(AND(MASTER!$F$1=MASTER!$N$2,MASTER!F162="X"),"",IF(AND(MASTER!$E$1=MASTER!$N$2,MASTER!E162="X"),"",IF(AND($Q$2&lt;&gt;D162,$Q$2&lt;&gt;E162,$Q$2&lt;&gt;F162,I162="10 to 6",J162=FALSE,K162=FALSE),B162,"")))))))), "")</f>
        <v/>
      </c>
    </row>
    <row r="163" spans="3:14" x14ac:dyDescent="0.2">
      <c r="C163"/>
      <c r="G163"/>
      <c r="J163"/>
      <c r="L163" s="30" t="str">
        <f ca="1">IFERROR(IF(AND(MASTER!$K$1=MASTER!$N$2,MASTER!K163="X"),"",IF(AND(MASTER!$J$1=MASTER!$N$2,MASTER!J163="X"),"",IF(AND(MASTER!$I$1=MASTER!$N$2,MASTER!I163="X"),"",IF(AND(MASTER!$H$1=MASTER!$N$2,MASTER!H163="X"),"",IF(AND(MASTER!$G$1=MASTER!$N$2,MASTER!G163="X"),"",IF(AND(MASTER!$F$1=MASTER!$N$2,MASTER!F163="X"),"",IF(AND(MASTER!$E$1=MASTER!$N$2,MASTER!E163="X"),"",IF(AND($Q$2&lt;&gt;D163,$Q$2&lt;&gt;E163,$Q$2&lt;&gt;F163,I163="6 to 2",J163=FALSE,K163=FALSE),B163,"")))))))), "")</f>
        <v/>
      </c>
      <c r="M163" s="34" t="str">
        <f ca="1">IFERROR(IF(AND(MASTER!$K$1=MASTER!$N$2,MASTER!K163="X"),"",IF(AND(MASTER!$J$1=MASTER!$N$2,MASTER!J163="X"),"",IF(AND(MASTER!$I$1=MASTER!$N$2,MASTER!I163="X"),"",IF(AND(MASTER!$H$1=MASTER!$N$2,MASTER!H163="X"),"",IF(AND(MASTER!$G$1=MASTER!$N$2,MASTER!G163="X"),"",IF(AND(MASTER!$F$1=MASTER!$N$2,MASTER!F163="X"),"",IF(AND(MASTER!$E$1=MASTER!$N$2,MASTER!E163="X"),"",IF(AND($Q$2&lt;&gt;D163,$Q$2&lt;&gt;E163,$Q$2&lt;&gt;F163,I163="2 to 10",J163=FALSE,K163=FALSE),B163,"")))))))), "")</f>
        <v/>
      </c>
      <c r="N163" s="44" t="str">
        <f ca="1">IFERROR(IF(AND(MASTER!$K$1=MASTER!$N$2,MASTER!K163="X"),"",IF(AND(MASTER!$J$1=MASTER!$N$2,MASTER!J163="X"),"",IF(AND(MASTER!$I$1=MASTER!$N$2,MASTER!I163="X"),"",IF(AND(MASTER!$H$1=MASTER!$N$2,MASTER!H163="X"),"",IF(AND(MASTER!$G$1=MASTER!$N$2,MASTER!G163="X"),"",IF(AND(MASTER!$F$1=MASTER!$N$2,MASTER!F163="X"),"",IF(AND(MASTER!$E$1=MASTER!$N$2,MASTER!E163="X"),"",IF(AND($Q$2&lt;&gt;D163,$Q$2&lt;&gt;E163,$Q$2&lt;&gt;F163,I163="10 to 6",J163=FALSE,K163=FALSE),B163,"")))))))), "")</f>
        <v/>
      </c>
    </row>
    <row r="164" spans="3:14" x14ac:dyDescent="0.2">
      <c r="C164"/>
      <c r="G164"/>
      <c r="J164"/>
      <c r="L164" s="30" t="str">
        <f ca="1">IFERROR(IF(AND(MASTER!$K$1=MASTER!$N$2,MASTER!K164="X"),"",IF(AND(MASTER!$J$1=MASTER!$N$2,MASTER!J164="X"),"",IF(AND(MASTER!$I$1=MASTER!$N$2,MASTER!I164="X"),"",IF(AND(MASTER!$H$1=MASTER!$N$2,MASTER!H164="X"),"",IF(AND(MASTER!$G$1=MASTER!$N$2,MASTER!G164="X"),"",IF(AND(MASTER!$F$1=MASTER!$N$2,MASTER!F164="X"),"",IF(AND(MASTER!$E$1=MASTER!$N$2,MASTER!E164="X"),"",IF(AND($Q$2&lt;&gt;D164,$Q$2&lt;&gt;E164,$Q$2&lt;&gt;F164,I164="6 to 2",J164=FALSE,K164=FALSE),B164,"")))))))), "")</f>
        <v/>
      </c>
      <c r="M164" s="34" t="str">
        <f ca="1">IFERROR(IF(AND(MASTER!$K$1=MASTER!$N$2,MASTER!K164="X"),"",IF(AND(MASTER!$J$1=MASTER!$N$2,MASTER!J164="X"),"",IF(AND(MASTER!$I$1=MASTER!$N$2,MASTER!I164="X"),"",IF(AND(MASTER!$H$1=MASTER!$N$2,MASTER!H164="X"),"",IF(AND(MASTER!$G$1=MASTER!$N$2,MASTER!G164="X"),"",IF(AND(MASTER!$F$1=MASTER!$N$2,MASTER!F164="X"),"",IF(AND(MASTER!$E$1=MASTER!$N$2,MASTER!E164="X"),"",IF(AND($Q$2&lt;&gt;D164,$Q$2&lt;&gt;E164,$Q$2&lt;&gt;F164,I164="2 to 10",J164=FALSE,K164=FALSE),B164,"")))))))), "")</f>
        <v/>
      </c>
      <c r="N164" s="44" t="str">
        <f ca="1">IFERROR(IF(AND(MASTER!$K$1=MASTER!$N$2,MASTER!K164="X"),"",IF(AND(MASTER!$J$1=MASTER!$N$2,MASTER!J164="X"),"",IF(AND(MASTER!$I$1=MASTER!$N$2,MASTER!I164="X"),"",IF(AND(MASTER!$H$1=MASTER!$N$2,MASTER!H164="X"),"",IF(AND(MASTER!$G$1=MASTER!$N$2,MASTER!G164="X"),"",IF(AND(MASTER!$F$1=MASTER!$N$2,MASTER!F164="X"),"",IF(AND(MASTER!$E$1=MASTER!$N$2,MASTER!E164="X"),"",IF(AND($Q$2&lt;&gt;D164,$Q$2&lt;&gt;E164,$Q$2&lt;&gt;F164,I164="10 to 6",J164=FALSE,K164=FALSE),B164,"")))))))), "")</f>
        <v/>
      </c>
    </row>
    <row r="165" spans="3:14" x14ac:dyDescent="0.2">
      <c r="C165"/>
      <c r="G165"/>
      <c r="J165"/>
      <c r="L165" s="30" t="str">
        <f ca="1">IFERROR(IF(AND(MASTER!$K$1=MASTER!$N$2,MASTER!K165="X"),"",IF(AND(MASTER!$J$1=MASTER!$N$2,MASTER!J165="X"),"",IF(AND(MASTER!$I$1=MASTER!$N$2,MASTER!I165="X"),"",IF(AND(MASTER!$H$1=MASTER!$N$2,MASTER!H165="X"),"",IF(AND(MASTER!$G$1=MASTER!$N$2,MASTER!G165="X"),"",IF(AND(MASTER!$F$1=MASTER!$N$2,MASTER!F165="X"),"",IF(AND(MASTER!$E$1=MASTER!$N$2,MASTER!E165="X"),"",IF(AND($Q$2&lt;&gt;D165,$Q$2&lt;&gt;E165,$Q$2&lt;&gt;F165,I165="6 to 2",J165=FALSE,K165=FALSE),B165,"")))))))), "")</f>
        <v/>
      </c>
      <c r="M165" s="34" t="str">
        <f ca="1">IFERROR(IF(AND(MASTER!$K$1=MASTER!$N$2,MASTER!K165="X"),"",IF(AND(MASTER!$J$1=MASTER!$N$2,MASTER!J165="X"),"",IF(AND(MASTER!$I$1=MASTER!$N$2,MASTER!I165="X"),"",IF(AND(MASTER!$H$1=MASTER!$N$2,MASTER!H165="X"),"",IF(AND(MASTER!$G$1=MASTER!$N$2,MASTER!G165="X"),"",IF(AND(MASTER!$F$1=MASTER!$N$2,MASTER!F165="X"),"",IF(AND(MASTER!$E$1=MASTER!$N$2,MASTER!E165="X"),"",IF(AND($Q$2&lt;&gt;D165,$Q$2&lt;&gt;E165,$Q$2&lt;&gt;F165,I165="2 to 10",J165=FALSE,K165=FALSE),B165,"")))))))), "")</f>
        <v/>
      </c>
      <c r="N165" s="44" t="str">
        <f ca="1">IFERROR(IF(AND(MASTER!$K$1=MASTER!$N$2,MASTER!K165="X"),"",IF(AND(MASTER!$J$1=MASTER!$N$2,MASTER!J165="X"),"",IF(AND(MASTER!$I$1=MASTER!$N$2,MASTER!I165="X"),"",IF(AND(MASTER!$H$1=MASTER!$N$2,MASTER!H165="X"),"",IF(AND(MASTER!$G$1=MASTER!$N$2,MASTER!G165="X"),"",IF(AND(MASTER!$F$1=MASTER!$N$2,MASTER!F165="X"),"",IF(AND(MASTER!$E$1=MASTER!$N$2,MASTER!E165="X"),"",IF(AND($Q$2&lt;&gt;D165,$Q$2&lt;&gt;E165,$Q$2&lt;&gt;F165,I165="10 to 6",J165=FALSE,K165=FALSE),B165,"")))))))), "")</f>
        <v/>
      </c>
    </row>
    <row r="166" spans="3:14" x14ac:dyDescent="0.2">
      <c r="C166"/>
      <c r="G166"/>
      <c r="J166"/>
      <c r="L166" s="30" t="str">
        <f ca="1">IFERROR(IF(AND(MASTER!$K$1=MASTER!$N$2,MASTER!K166="X"),"",IF(AND(MASTER!$J$1=MASTER!$N$2,MASTER!J166="X"),"",IF(AND(MASTER!$I$1=MASTER!$N$2,MASTER!I166="X"),"",IF(AND(MASTER!$H$1=MASTER!$N$2,MASTER!H166="X"),"",IF(AND(MASTER!$G$1=MASTER!$N$2,MASTER!G166="X"),"",IF(AND(MASTER!$F$1=MASTER!$N$2,MASTER!F166="X"),"",IF(AND(MASTER!$E$1=MASTER!$N$2,MASTER!E166="X"),"",IF(AND($Q$2&lt;&gt;D166,$Q$2&lt;&gt;E166,$Q$2&lt;&gt;F166,I166="6 to 2",J166=FALSE,K166=FALSE),B166,"")))))))), "")</f>
        <v/>
      </c>
      <c r="M166" s="34" t="str">
        <f ca="1">IFERROR(IF(AND(MASTER!$K$1=MASTER!$N$2,MASTER!K166="X"),"",IF(AND(MASTER!$J$1=MASTER!$N$2,MASTER!J166="X"),"",IF(AND(MASTER!$I$1=MASTER!$N$2,MASTER!I166="X"),"",IF(AND(MASTER!$H$1=MASTER!$N$2,MASTER!H166="X"),"",IF(AND(MASTER!$G$1=MASTER!$N$2,MASTER!G166="X"),"",IF(AND(MASTER!$F$1=MASTER!$N$2,MASTER!F166="X"),"",IF(AND(MASTER!$E$1=MASTER!$N$2,MASTER!E166="X"),"",IF(AND($Q$2&lt;&gt;D166,$Q$2&lt;&gt;E166,$Q$2&lt;&gt;F166,I166="2 to 10",J166=FALSE,K166=FALSE),B166,"")))))))), "")</f>
        <v/>
      </c>
      <c r="N166" s="44" t="str">
        <f ca="1">IFERROR(IF(AND(MASTER!$K$1=MASTER!$N$2,MASTER!K166="X"),"",IF(AND(MASTER!$J$1=MASTER!$N$2,MASTER!J166="X"),"",IF(AND(MASTER!$I$1=MASTER!$N$2,MASTER!I166="X"),"",IF(AND(MASTER!$H$1=MASTER!$N$2,MASTER!H166="X"),"",IF(AND(MASTER!$G$1=MASTER!$N$2,MASTER!G166="X"),"",IF(AND(MASTER!$F$1=MASTER!$N$2,MASTER!F166="X"),"",IF(AND(MASTER!$E$1=MASTER!$N$2,MASTER!E166="X"),"",IF(AND($Q$2&lt;&gt;D166,$Q$2&lt;&gt;E166,$Q$2&lt;&gt;F166,I166="10 to 6",J166=FALSE,K166=FALSE),B166,"")))))))), "")</f>
        <v/>
      </c>
    </row>
    <row r="167" spans="3:14" x14ac:dyDescent="0.2">
      <c r="C167"/>
      <c r="G167"/>
      <c r="J167"/>
      <c r="L167" s="30" t="str">
        <f ca="1">IFERROR(IF(AND(MASTER!$K$1=MASTER!$N$2,MASTER!K167="X"),"",IF(AND(MASTER!$J$1=MASTER!$N$2,MASTER!J167="X"),"",IF(AND(MASTER!$I$1=MASTER!$N$2,MASTER!I167="X"),"",IF(AND(MASTER!$H$1=MASTER!$N$2,MASTER!H167="X"),"",IF(AND(MASTER!$G$1=MASTER!$N$2,MASTER!G167="X"),"",IF(AND(MASTER!$F$1=MASTER!$N$2,MASTER!F167="X"),"",IF(AND(MASTER!$E$1=MASTER!$N$2,MASTER!E167="X"),"",IF(AND($Q$2&lt;&gt;D167,$Q$2&lt;&gt;E167,$Q$2&lt;&gt;F167,I167="6 to 2",J167=FALSE,K167=FALSE),B167,"")))))))), "")</f>
        <v/>
      </c>
      <c r="M167" s="34" t="str">
        <f ca="1">IFERROR(IF(AND(MASTER!$K$1=MASTER!$N$2,MASTER!K167="X"),"",IF(AND(MASTER!$J$1=MASTER!$N$2,MASTER!J167="X"),"",IF(AND(MASTER!$I$1=MASTER!$N$2,MASTER!I167="X"),"",IF(AND(MASTER!$H$1=MASTER!$N$2,MASTER!H167="X"),"",IF(AND(MASTER!$G$1=MASTER!$N$2,MASTER!G167="X"),"",IF(AND(MASTER!$F$1=MASTER!$N$2,MASTER!F167="X"),"",IF(AND(MASTER!$E$1=MASTER!$N$2,MASTER!E167="X"),"",IF(AND($Q$2&lt;&gt;D167,$Q$2&lt;&gt;E167,$Q$2&lt;&gt;F167,I167="2 to 10",J167=FALSE,K167=FALSE),B167,"")))))))), "")</f>
        <v/>
      </c>
      <c r="N167" s="44" t="str">
        <f ca="1">IFERROR(IF(AND(MASTER!$K$1=MASTER!$N$2,MASTER!K167="X"),"",IF(AND(MASTER!$J$1=MASTER!$N$2,MASTER!J167="X"),"",IF(AND(MASTER!$I$1=MASTER!$N$2,MASTER!I167="X"),"",IF(AND(MASTER!$H$1=MASTER!$N$2,MASTER!H167="X"),"",IF(AND(MASTER!$G$1=MASTER!$N$2,MASTER!G167="X"),"",IF(AND(MASTER!$F$1=MASTER!$N$2,MASTER!F167="X"),"",IF(AND(MASTER!$E$1=MASTER!$N$2,MASTER!E167="X"),"",IF(AND($Q$2&lt;&gt;D167,$Q$2&lt;&gt;E167,$Q$2&lt;&gt;F167,I167="10 to 6",J167=FALSE,K167=FALSE),B167,"")))))))), "")</f>
        <v/>
      </c>
    </row>
    <row r="168" spans="3:14" x14ac:dyDescent="0.2">
      <c r="C168"/>
      <c r="G168"/>
      <c r="J168"/>
      <c r="L168" s="30" t="str">
        <f ca="1">IFERROR(IF(AND(MASTER!$K$1=MASTER!$N$2,MASTER!K168="X"),"",IF(AND(MASTER!$J$1=MASTER!$N$2,MASTER!J168="X"),"",IF(AND(MASTER!$I$1=MASTER!$N$2,MASTER!I168="X"),"",IF(AND(MASTER!$H$1=MASTER!$N$2,MASTER!H168="X"),"",IF(AND(MASTER!$G$1=MASTER!$N$2,MASTER!G168="X"),"",IF(AND(MASTER!$F$1=MASTER!$N$2,MASTER!F168="X"),"",IF(AND(MASTER!$E$1=MASTER!$N$2,MASTER!E168="X"),"",IF(AND($Q$2&lt;&gt;D168,$Q$2&lt;&gt;E168,$Q$2&lt;&gt;F168,I168="6 to 2",J168=FALSE,K168=FALSE),B168,"")))))))), "")</f>
        <v/>
      </c>
      <c r="M168" s="34" t="str">
        <f ca="1">IFERROR(IF(AND(MASTER!$K$1=MASTER!$N$2,MASTER!K168="X"),"",IF(AND(MASTER!$J$1=MASTER!$N$2,MASTER!J168="X"),"",IF(AND(MASTER!$I$1=MASTER!$N$2,MASTER!I168="X"),"",IF(AND(MASTER!$H$1=MASTER!$N$2,MASTER!H168="X"),"",IF(AND(MASTER!$G$1=MASTER!$N$2,MASTER!G168="X"),"",IF(AND(MASTER!$F$1=MASTER!$N$2,MASTER!F168="X"),"",IF(AND(MASTER!$E$1=MASTER!$N$2,MASTER!E168="X"),"",IF(AND($Q$2&lt;&gt;D168,$Q$2&lt;&gt;E168,$Q$2&lt;&gt;F168,I168="2 to 10",J168=FALSE,K168=FALSE),B168,"")))))))), "")</f>
        <v/>
      </c>
      <c r="N168" s="44" t="str">
        <f ca="1">IFERROR(IF(AND(MASTER!$K$1=MASTER!$N$2,MASTER!K168="X"),"",IF(AND(MASTER!$J$1=MASTER!$N$2,MASTER!J168="X"),"",IF(AND(MASTER!$I$1=MASTER!$N$2,MASTER!I168="X"),"",IF(AND(MASTER!$H$1=MASTER!$N$2,MASTER!H168="X"),"",IF(AND(MASTER!$G$1=MASTER!$N$2,MASTER!G168="X"),"",IF(AND(MASTER!$F$1=MASTER!$N$2,MASTER!F168="X"),"",IF(AND(MASTER!$E$1=MASTER!$N$2,MASTER!E168="X"),"",IF(AND($Q$2&lt;&gt;D168,$Q$2&lt;&gt;E168,$Q$2&lt;&gt;F168,I168="10 to 6",J168=FALSE,K168=FALSE),B168,"")))))))), "")</f>
        <v/>
      </c>
    </row>
    <row r="169" spans="3:14" x14ac:dyDescent="0.2">
      <c r="C169"/>
      <c r="G169"/>
      <c r="J169"/>
      <c r="L169" s="30" t="str">
        <f ca="1">IFERROR(IF(AND(MASTER!$K$1=MASTER!$N$2,MASTER!K169="X"),"",IF(AND(MASTER!$J$1=MASTER!$N$2,MASTER!J169="X"),"",IF(AND(MASTER!$I$1=MASTER!$N$2,MASTER!I169="X"),"",IF(AND(MASTER!$H$1=MASTER!$N$2,MASTER!H169="X"),"",IF(AND(MASTER!$G$1=MASTER!$N$2,MASTER!G169="X"),"",IF(AND(MASTER!$F$1=MASTER!$N$2,MASTER!F169="X"),"",IF(AND(MASTER!$E$1=MASTER!$N$2,MASTER!E169="X"),"",IF(AND($Q$2&lt;&gt;D169,$Q$2&lt;&gt;E169,$Q$2&lt;&gt;F169,I169="6 to 2",J169=FALSE,K169=FALSE),B169,"")))))))), "")</f>
        <v/>
      </c>
      <c r="M169" s="34" t="str">
        <f ca="1">IFERROR(IF(AND(MASTER!$K$1=MASTER!$N$2,MASTER!K169="X"),"",IF(AND(MASTER!$J$1=MASTER!$N$2,MASTER!J169="X"),"",IF(AND(MASTER!$I$1=MASTER!$N$2,MASTER!I169="X"),"",IF(AND(MASTER!$H$1=MASTER!$N$2,MASTER!H169="X"),"",IF(AND(MASTER!$G$1=MASTER!$N$2,MASTER!G169="X"),"",IF(AND(MASTER!$F$1=MASTER!$N$2,MASTER!F169="X"),"",IF(AND(MASTER!$E$1=MASTER!$N$2,MASTER!E169="X"),"",IF(AND($Q$2&lt;&gt;D169,$Q$2&lt;&gt;E169,$Q$2&lt;&gt;F169,I169="2 to 10",J169=FALSE,K169=FALSE),B169,"")))))))), "")</f>
        <v/>
      </c>
      <c r="N169" s="44" t="str">
        <f ca="1">IFERROR(IF(AND(MASTER!$K$1=MASTER!$N$2,MASTER!K169="X"),"",IF(AND(MASTER!$J$1=MASTER!$N$2,MASTER!J169="X"),"",IF(AND(MASTER!$I$1=MASTER!$N$2,MASTER!I169="X"),"",IF(AND(MASTER!$H$1=MASTER!$N$2,MASTER!H169="X"),"",IF(AND(MASTER!$G$1=MASTER!$N$2,MASTER!G169="X"),"",IF(AND(MASTER!$F$1=MASTER!$N$2,MASTER!F169="X"),"",IF(AND(MASTER!$E$1=MASTER!$N$2,MASTER!E169="X"),"",IF(AND($Q$2&lt;&gt;D169,$Q$2&lt;&gt;E169,$Q$2&lt;&gt;F169,I169="10 to 6",J169=FALSE,K169=FALSE),B169,"")))))))), "")</f>
        <v/>
      </c>
    </row>
    <row r="170" spans="3:14" x14ac:dyDescent="0.2">
      <c r="C170"/>
      <c r="G170"/>
      <c r="J170"/>
      <c r="L170" s="30" t="str">
        <f ca="1">IFERROR(IF(AND(MASTER!$K$1=MASTER!$N$2,MASTER!K170="X"),"",IF(AND(MASTER!$J$1=MASTER!$N$2,MASTER!J170="X"),"",IF(AND(MASTER!$I$1=MASTER!$N$2,MASTER!I170="X"),"",IF(AND(MASTER!$H$1=MASTER!$N$2,MASTER!H170="X"),"",IF(AND(MASTER!$G$1=MASTER!$N$2,MASTER!G170="X"),"",IF(AND(MASTER!$F$1=MASTER!$N$2,MASTER!F170="X"),"",IF(AND(MASTER!$E$1=MASTER!$N$2,MASTER!E170="X"),"",IF(AND($Q$2&lt;&gt;D170,$Q$2&lt;&gt;E170,$Q$2&lt;&gt;F170,I170="6 to 2",J170=FALSE,K170=FALSE),B170,"")))))))), "")</f>
        <v/>
      </c>
      <c r="M170" s="34" t="str">
        <f ca="1">IFERROR(IF(AND(MASTER!$K$1=MASTER!$N$2,MASTER!K170="X"),"",IF(AND(MASTER!$J$1=MASTER!$N$2,MASTER!J170="X"),"",IF(AND(MASTER!$I$1=MASTER!$N$2,MASTER!I170="X"),"",IF(AND(MASTER!$H$1=MASTER!$N$2,MASTER!H170="X"),"",IF(AND(MASTER!$G$1=MASTER!$N$2,MASTER!G170="X"),"",IF(AND(MASTER!$F$1=MASTER!$N$2,MASTER!F170="X"),"",IF(AND(MASTER!$E$1=MASTER!$N$2,MASTER!E170="X"),"",IF(AND($Q$2&lt;&gt;D170,$Q$2&lt;&gt;E170,$Q$2&lt;&gt;F170,I170="2 to 10",J170=FALSE,K170=FALSE),B170,"")))))))), "")</f>
        <v/>
      </c>
      <c r="N170" s="44" t="str">
        <f ca="1">IFERROR(IF(AND(MASTER!$K$1=MASTER!$N$2,MASTER!K170="X"),"",IF(AND(MASTER!$J$1=MASTER!$N$2,MASTER!J170="X"),"",IF(AND(MASTER!$I$1=MASTER!$N$2,MASTER!I170="X"),"",IF(AND(MASTER!$H$1=MASTER!$N$2,MASTER!H170="X"),"",IF(AND(MASTER!$G$1=MASTER!$N$2,MASTER!G170="X"),"",IF(AND(MASTER!$F$1=MASTER!$N$2,MASTER!F170="X"),"",IF(AND(MASTER!$E$1=MASTER!$N$2,MASTER!E170="X"),"",IF(AND($Q$2&lt;&gt;D170,$Q$2&lt;&gt;E170,$Q$2&lt;&gt;F170,I170="10 to 6",J170=FALSE,K170=FALSE),B170,"")))))))), "")</f>
        <v/>
      </c>
    </row>
    <row r="171" spans="3:14" x14ac:dyDescent="0.2">
      <c r="C171"/>
      <c r="G171"/>
      <c r="J171"/>
      <c r="L171" s="30" t="str">
        <f ca="1">IFERROR(IF(AND(MASTER!$K$1=MASTER!$N$2,MASTER!K171="X"),"",IF(AND(MASTER!$J$1=MASTER!$N$2,MASTER!J171="X"),"",IF(AND(MASTER!$I$1=MASTER!$N$2,MASTER!I171="X"),"",IF(AND(MASTER!$H$1=MASTER!$N$2,MASTER!H171="X"),"",IF(AND(MASTER!$G$1=MASTER!$N$2,MASTER!G171="X"),"",IF(AND(MASTER!$F$1=MASTER!$N$2,MASTER!F171="X"),"",IF(AND(MASTER!$E$1=MASTER!$N$2,MASTER!E171="X"),"",IF(AND($Q$2&lt;&gt;D171,$Q$2&lt;&gt;E171,$Q$2&lt;&gt;F171,I171="6 to 2",J171=FALSE,K171=FALSE),B171,"")))))))), "")</f>
        <v/>
      </c>
      <c r="M171" s="34" t="str">
        <f ca="1">IFERROR(IF(AND(MASTER!$K$1=MASTER!$N$2,MASTER!K171="X"),"",IF(AND(MASTER!$J$1=MASTER!$N$2,MASTER!J171="X"),"",IF(AND(MASTER!$I$1=MASTER!$N$2,MASTER!I171="X"),"",IF(AND(MASTER!$H$1=MASTER!$N$2,MASTER!H171="X"),"",IF(AND(MASTER!$G$1=MASTER!$N$2,MASTER!G171="X"),"",IF(AND(MASTER!$F$1=MASTER!$N$2,MASTER!F171="X"),"",IF(AND(MASTER!$E$1=MASTER!$N$2,MASTER!E171="X"),"",IF(AND($Q$2&lt;&gt;D171,$Q$2&lt;&gt;E171,$Q$2&lt;&gt;F171,I171="2 to 10",J171=FALSE,K171=FALSE),B171,"")))))))), "")</f>
        <v/>
      </c>
      <c r="N171" s="44" t="str">
        <f ca="1">IFERROR(IF(AND(MASTER!$K$1=MASTER!$N$2,MASTER!K171="X"),"",IF(AND(MASTER!$J$1=MASTER!$N$2,MASTER!J171="X"),"",IF(AND(MASTER!$I$1=MASTER!$N$2,MASTER!I171="X"),"",IF(AND(MASTER!$H$1=MASTER!$N$2,MASTER!H171="X"),"",IF(AND(MASTER!$G$1=MASTER!$N$2,MASTER!G171="X"),"",IF(AND(MASTER!$F$1=MASTER!$N$2,MASTER!F171="X"),"",IF(AND(MASTER!$E$1=MASTER!$N$2,MASTER!E171="X"),"",IF(AND($Q$2&lt;&gt;D171,$Q$2&lt;&gt;E171,$Q$2&lt;&gt;F171,I171="10 to 6",J171=FALSE,K171=FALSE),B171,"")))))))), "")</f>
        <v/>
      </c>
    </row>
    <row r="172" spans="3:14" x14ac:dyDescent="0.2">
      <c r="C172"/>
      <c r="G172"/>
      <c r="J172"/>
      <c r="L172" s="30" t="str">
        <f ca="1">IFERROR(IF(AND(MASTER!$K$1=MASTER!$N$2,MASTER!K172="X"),"",IF(AND(MASTER!$J$1=MASTER!$N$2,MASTER!J172="X"),"",IF(AND(MASTER!$I$1=MASTER!$N$2,MASTER!I172="X"),"",IF(AND(MASTER!$H$1=MASTER!$N$2,MASTER!H172="X"),"",IF(AND(MASTER!$G$1=MASTER!$N$2,MASTER!G172="X"),"",IF(AND(MASTER!$F$1=MASTER!$N$2,MASTER!F172="X"),"",IF(AND(MASTER!$E$1=MASTER!$N$2,MASTER!E172="X"),"",IF(AND($Q$2&lt;&gt;D172,$Q$2&lt;&gt;E172,$Q$2&lt;&gt;F172,I172="6 to 2",J172=FALSE,K172=FALSE),B172,"")))))))), "")</f>
        <v/>
      </c>
      <c r="M172" s="34" t="str">
        <f ca="1">IFERROR(IF(AND(MASTER!$K$1=MASTER!$N$2,MASTER!K172="X"),"",IF(AND(MASTER!$J$1=MASTER!$N$2,MASTER!J172="X"),"",IF(AND(MASTER!$I$1=MASTER!$N$2,MASTER!I172="X"),"",IF(AND(MASTER!$H$1=MASTER!$N$2,MASTER!H172="X"),"",IF(AND(MASTER!$G$1=MASTER!$N$2,MASTER!G172="X"),"",IF(AND(MASTER!$F$1=MASTER!$N$2,MASTER!F172="X"),"",IF(AND(MASTER!$E$1=MASTER!$N$2,MASTER!E172="X"),"",IF(AND($Q$2&lt;&gt;D172,$Q$2&lt;&gt;E172,$Q$2&lt;&gt;F172,I172="2 to 10",J172=FALSE,K172=FALSE),B172,"")))))))), "")</f>
        <v/>
      </c>
      <c r="N172" s="44" t="str">
        <f ca="1">IFERROR(IF(AND(MASTER!$K$1=MASTER!$N$2,MASTER!K172="X"),"",IF(AND(MASTER!$J$1=MASTER!$N$2,MASTER!J172="X"),"",IF(AND(MASTER!$I$1=MASTER!$N$2,MASTER!I172="X"),"",IF(AND(MASTER!$H$1=MASTER!$N$2,MASTER!H172="X"),"",IF(AND(MASTER!$G$1=MASTER!$N$2,MASTER!G172="X"),"",IF(AND(MASTER!$F$1=MASTER!$N$2,MASTER!F172="X"),"",IF(AND(MASTER!$E$1=MASTER!$N$2,MASTER!E172="X"),"",IF(AND($Q$2&lt;&gt;D172,$Q$2&lt;&gt;E172,$Q$2&lt;&gt;F172,I172="10 to 6",J172=FALSE,K172=FALSE),B172,"")))))))), "")</f>
        <v/>
      </c>
    </row>
    <row r="173" spans="3:14" x14ac:dyDescent="0.2">
      <c r="C173"/>
      <c r="G173"/>
      <c r="J173"/>
      <c r="L173" s="30" t="str">
        <f ca="1">IFERROR(IF(AND(MASTER!$K$1=MASTER!$N$2,MASTER!K173="X"),"",IF(AND(MASTER!$J$1=MASTER!$N$2,MASTER!J173="X"),"",IF(AND(MASTER!$I$1=MASTER!$N$2,MASTER!I173="X"),"",IF(AND(MASTER!$H$1=MASTER!$N$2,MASTER!H173="X"),"",IF(AND(MASTER!$G$1=MASTER!$N$2,MASTER!G173="X"),"",IF(AND(MASTER!$F$1=MASTER!$N$2,MASTER!F173="X"),"",IF(AND(MASTER!$E$1=MASTER!$N$2,MASTER!E173="X"),"",IF(AND($Q$2&lt;&gt;D173,$Q$2&lt;&gt;E173,$Q$2&lt;&gt;F173,I173="6 to 2",J173=FALSE,K173=FALSE),B173,"")))))))), "")</f>
        <v/>
      </c>
      <c r="M173" s="34" t="str">
        <f ca="1">IFERROR(IF(AND(MASTER!$K$1=MASTER!$N$2,MASTER!K173="X"),"",IF(AND(MASTER!$J$1=MASTER!$N$2,MASTER!J173="X"),"",IF(AND(MASTER!$I$1=MASTER!$N$2,MASTER!I173="X"),"",IF(AND(MASTER!$H$1=MASTER!$N$2,MASTER!H173="X"),"",IF(AND(MASTER!$G$1=MASTER!$N$2,MASTER!G173="X"),"",IF(AND(MASTER!$F$1=MASTER!$N$2,MASTER!F173="X"),"",IF(AND(MASTER!$E$1=MASTER!$N$2,MASTER!E173="X"),"",IF(AND($Q$2&lt;&gt;D173,$Q$2&lt;&gt;E173,$Q$2&lt;&gt;F173,I173="2 to 10",J173=FALSE,K173=FALSE),B173,"")))))))), "")</f>
        <v/>
      </c>
      <c r="N173" s="44" t="str">
        <f ca="1">IFERROR(IF(AND(MASTER!$K$1=MASTER!$N$2,MASTER!K173="X"),"",IF(AND(MASTER!$J$1=MASTER!$N$2,MASTER!J173="X"),"",IF(AND(MASTER!$I$1=MASTER!$N$2,MASTER!I173="X"),"",IF(AND(MASTER!$H$1=MASTER!$N$2,MASTER!H173="X"),"",IF(AND(MASTER!$G$1=MASTER!$N$2,MASTER!G173="X"),"",IF(AND(MASTER!$F$1=MASTER!$N$2,MASTER!F173="X"),"",IF(AND(MASTER!$E$1=MASTER!$N$2,MASTER!E173="X"),"",IF(AND($Q$2&lt;&gt;D173,$Q$2&lt;&gt;E173,$Q$2&lt;&gt;F173,I173="10 to 6",J173=FALSE,K173=FALSE),B173,"")))))))), "")</f>
        <v/>
      </c>
    </row>
    <row r="174" spans="3:14" x14ac:dyDescent="0.2">
      <c r="C174"/>
      <c r="G174"/>
      <c r="J174"/>
      <c r="L174" s="30" t="str">
        <f ca="1">IFERROR(IF(AND(MASTER!$K$1=MASTER!$N$2,MASTER!K174="X"),"",IF(AND(MASTER!$J$1=MASTER!$N$2,MASTER!J174="X"),"",IF(AND(MASTER!$I$1=MASTER!$N$2,MASTER!I174="X"),"",IF(AND(MASTER!$H$1=MASTER!$N$2,MASTER!H174="X"),"",IF(AND(MASTER!$G$1=MASTER!$N$2,MASTER!G174="X"),"",IF(AND(MASTER!$F$1=MASTER!$N$2,MASTER!F174="X"),"",IF(AND(MASTER!$E$1=MASTER!$N$2,MASTER!E174="X"),"",IF(AND($Q$2&lt;&gt;D174,$Q$2&lt;&gt;E174,$Q$2&lt;&gt;F174,I174="6 to 2",J174=FALSE,K174=FALSE),B174,"")))))))), "")</f>
        <v/>
      </c>
      <c r="M174" s="34" t="str">
        <f ca="1">IFERROR(IF(AND(MASTER!$K$1=MASTER!$N$2,MASTER!K174="X"),"",IF(AND(MASTER!$J$1=MASTER!$N$2,MASTER!J174="X"),"",IF(AND(MASTER!$I$1=MASTER!$N$2,MASTER!I174="X"),"",IF(AND(MASTER!$H$1=MASTER!$N$2,MASTER!H174="X"),"",IF(AND(MASTER!$G$1=MASTER!$N$2,MASTER!G174="X"),"",IF(AND(MASTER!$F$1=MASTER!$N$2,MASTER!F174="X"),"",IF(AND(MASTER!$E$1=MASTER!$N$2,MASTER!E174="X"),"",IF(AND($Q$2&lt;&gt;D174,$Q$2&lt;&gt;E174,$Q$2&lt;&gt;F174,I174="2 to 10",J174=FALSE,K174=FALSE),B174,"")))))))), "")</f>
        <v/>
      </c>
      <c r="N174" s="44" t="str">
        <f ca="1">IFERROR(IF(AND(MASTER!$K$1=MASTER!$N$2,MASTER!K174="X"),"",IF(AND(MASTER!$J$1=MASTER!$N$2,MASTER!J174="X"),"",IF(AND(MASTER!$I$1=MASTER!$N$2,MASTER!I174="X"),"",IF(AND(MASTER!$H$1=MASTER!$N$2,MASTER!H174="X"),"",IF(AND(MASTER!$G$1=MASTER!$N$2,MASTER!G174="X"),"",IF(AND(MASTER!$F$1=MASTER!$N$2,MASTER!F174="X"),"",IF(AND(MASTER!$E$1=MASTER!$N$2,MASTER!E174="X"),"",IF(AND($Q$2&lt;&gt;D174,$Q$2&lt;&gt;E174,$Q$2&lt;&gt;F174,I174="10 to 6",J174=FALSE,K174=FALSE),B174,"")))))))), "")</f>
        <v/>
      </c>
    </row>
    <row r="175" spans="3:14" x14ac:dyDescent="0.2">
      <c r="C175"/>
      <c r="G175"/>
      <c r="J175"/>
      <c r="L175" s="30" t="str">
        <f ca="1">IFERROR(IF(AND(MASTER!$K$1=MASTER!$N$2,MASTER!K175="X"),"",IF(AND(MASTER!$J$1=MASTER!$N$2,MASTER!J175="X"),"",IF(AND(MASTER!$I$1=MASTER!$N$2,MASTER!I175="X"),"",IF(AND(MASTER!$H$1=MASTER!$N$2,MASTER!H175="X"),"",IF(AND(MASTER!$G$1=MASTER!$N$2,MASTER!G175="X"),"",IF(AND(MASTER!$F$1=MASTER!$N$2,MASTER!F175="X"),"",IF(AND(MASTER!$E$1=MASTER!$N$2,MASTER!E175="X"),"",IF(AND($Q$2&lt;&gt;D175,$Q$2&lt;&gt;E175,$Q$2&lt;&gt;F175,I175="6 to 2",J175=FALSE,K175=FALSE),B175,"")))))))), "")</f>
        <v/>
      </c>
      <c r="M175" s="34" t="str">
        <f ca="1">IFERROR(IF(AND(MASTER!$K$1=MASTER!$N$2,MASTER!K175="X"),"",IF(AND(MASTER!$J$1=MASTER!$N$2,MASTER!J175="X"),"",IF(AND(MASTER!$I$1=MASTER!$N$2,MASTER!I175="X"),"",IF(AND(MASTER!$H$1=MASTER!$N$2,MASTER!H175="X"),"",IF(AND(MASTER!$G$1=MASTER!$N$2,MASTER!G175="X"),"",IF(AND(MASTER!$F$1=MASTER!$N$2,MASTER!F175="X"),"",IF(AND(MASTER!$E$1=MASTER!$N$2,MASTER!E175="X"),"",IF(AND($Q$2&lt;&gt;D175,$Q$2&lt;&gt;E175,$Q$2&lt;&gt;F175,I175="2 to 10",J175=FALSE,K175=FALSE),B175,"")))))))), "")</f>
        <v/>
      </c>
      <c r="N175" s="44" t="str">
        <f ca="1">IFERROR(IF(AND(MASTER!$K$1=MASTER!$N$2,MASTER!K175="X"),"",IF(AND(MASTER!$J$1=MASTER!$N$2,MASTER!J175="X"),"",IF(AND(MASTER!$I$1=MASTER!$N$2,MASTER!I175="X"),"",IF(AND(MASTER!$H$1=MASTER!$N$2,MASTER!H175="X"),"",IF(AND(MASTER!$G$1=MASTER!$N$2,MASTER!G175="X"),"",IF(AND(MASTER!$F$1=MASTER!$N$2,MASTER!F175="X"),"",IF(AND(MASTER!$E$1=MASTER!$N$2,MASTER!E175="X"),"",IF(AND($Q$2&lt;&gt;D175,$Q$2&lt;&gt;E175,$Q$2&lt;&gt;F175,I175="10 to 6",J175=FALSE,K175=FALSE),B175,"")))))))), "")</f>
        <v/>
      </c>
    </row>
    <row r="176" spans="3:14" x14ac:dyDescent="0.2">
      <c r="C176"/>
      <c r="G176"/>
      <c r="J176"/>
      <c r="L176" s="30" t="str">
        <f ca="1">IFERROR(IF(AND(MASTER!$K$1=MASTER!$N$2,MASTER!K176="X"),"",IF(AND(MASTER!$J$1=MASTER!$N$2,MASTER!J176="X"),"",IF(AND(MASTER!$I$1=MASTER!$N$2,MASTER!I176="X"),"",IF(AND(MASTER!$H$1=MASTER!$N$2,MASTER!H176="X"),"",IF(AND(MASTER!$G$1=MASTER!$N$2,MASTER!G176="X"),"",IF(AND(MASTER!$F$1=MASTER!$N$2,MASTER!F176="X"),"",IF(AND(MASTER!$E$1=MASTER!$N$2,MASTER!E176="X"),"",IF(AND($Q$2&lt;&gt;D176,$Q$2&lt;&gt;E176,$Q$2&lt;&gt;F176,I176="6 to 2",J176=FALSE,K176=FALSE),B176,"")))))))), "")</f>
        <v/>
      </c>
      <c r="M176" s="34" t="str">
        <f ca="1">IFERROR(IF(AND(MASTER!$K$1=MASTER!$N$2,MASTER!K176="X"),"",IF(AND(MASTER!$J$1=MASTER!$N$2,MASTER!J176="X"),"",IF(AND(MASTER!$I$1=MASTER!$N$2,MASTER!I176="X"),"",IF(AND(MASTER!$H$1=MASTER!$N$2,MASTER!H176="X"),"",IF(AND(MASTER!$G$1=MASTER!$N$2,MASTER!G176="X"),"",IF(AND(MASTER!$F$1=MASTER!$N$2,MASTER!F176="X"),"",IF(AND(MASTER!$E$1=MASTER!$N$2,MASTER!E176="X"),"",IF(AND($Q$2&lt;&gt;D176,$Q$2&lt;&gt;E176,$Q$2&lt;&gt;F176,I176="2 to 10",J176=FALSE,K176=FALSE),B176,"")))))))), "")</f>
        <v/>
      </c>
      <c r="N176" s="44" t="str">
        <f ca="1">IFERROR(IF(AND(MASTER!$K$1=MASTER!$N$2,MASTER!K176="X"),"",IF(AND(MASTER!$J$1=MASTER!$N$2,MASTER!J176="X"),"",IF(AND(MASTER!$I$1=MASTER!$N$2,MASTER!I176="X"),"",IF(AND(MASTER!$H$1=MASTER!$N$2,MASTER!H176="X"),"",IF(AND(MASTER!$G$1=MASTER!$N$2,MASTER!G176="X"),"",IF(AND(MASTER!$F$1=MASTER!$N$2,MASTER!F176="X"),"",IF(AND(MASTER!$E$1=MASTER!$N$2,MASTER!E176="X"),"",IF(AND($Q$2&lt;&gt;D176,$Q$2&lt;&gt;E176,$Q$2&lt;&gt;F176,I176="10 to 6",J176=FALSE,K176=FALSE),B176,"")))))))), "")</f>
        <v/>
      </c>
    </row>
    <row r="177" spans="3:14" x14ac:dyDescent="0.2">
      <c r="C177"/>
      <c r="G177"/>
      <c r="J177"/>
      <c r="L177" s="30" t="str">
        <f ca="1">IFERROR(IF(AND(MASTER!$K$1=MASTER!$N$2,MASTER!K177="X"),"",IF(AND(MASTER!$J$1=MASTER!$N$2,MASTER!J177="X"),"",IF(AND(MASTER!$I$1=MASTER!$N$2,MASTER!I177="X"),"",IF(AND(MASTER!$H$1=MASTER!$N$2,MASTER!H177="X"),"",IF(AND(MASTER!$G$1=MASTER!$N$2,MASTER!G177="X"),"",IF(AND(MASTER!$F$1=MASTER!$N$2,MASTER!F177="X"),"",IF(AND(MASTER!$E$1=MASTER!$N$2,MASTER!E177="X"),"",IF(AND($Q$2&lt;&gt;D177,$Q$2&lt;&gt;E177,$Q$2&lt;&gt;F177,I177="6 to 2",J177=FALSE,K177=FALSE),B177,"")))))))), "")</f>
        <v/>
      </c>
      <c r="M177" s="34" t="str">
        <f ca="1">IFERROR(IF(AND(MASTER!$K$1=MASTER!$N$2,MASTER!K177="X"),"",IF(AND(MASTER!$J$1=MASTER!$N$2,MASTER!J177="X"),"",IF(AND(MASTER!$I$1=MASTER!$N$2,MASTER!I177="X"),"",IF(AND(MASTER!$H$1=MASTER!$N$2,MASTER!H177="X"),"",IF(AND(MASTER!$G$1=MASTER!$N$2,MASTER!G177="X"),"",IF(AND(MASTER!$F$1=MASTER!$N$2,MASTER!F177="X"),"",IF(AND(MASTER!$E$1=MASTER!$N$2,MASTER!E177="X"),"",IF(AND($Q$2&lt;&gt;D177,$Q$2&lt;&gt;E177,$Q$2&lt;&gt;F177,I177="2 to 10",J177=FALSE,K177=FALSE),B177,"")))))))), "")</f>
        <v/>
      </c>
      <c r="N177" s="44" t="str">
        <f ca="1">IFERROR(IF(AND(MASTER!$K$1=MASTER!$N$2,MASTER!K177="X"),"",IF(AND(MASTER!$J$1=MASTER!$N$2,MASTER!J177="X"),"",IF(AND(MASTER!$I$1=MASTER!$N$2,MASTER!I177="X"),"",IF(AND(MASTER!$H$1=MASTER!$N$2,MASTER!H177="X"),"",IF(AND(MASTER!$G$1=MASTER!$N$2,MASTER!G177="X"),"",IF(AND(MASTER!$F$1=MASTER!$N$2,MASTER!F177="X"),"",IF(AND(MASTER!$E$1=MASTER!$N$2,MASTER!E177="X"),"",IF(AND($Q$2&lt;&gt;D177,$Q$2&lt;&gt;E177,$Q$2&lt;&gt;F177,I177="10 to 6",J177=FALSE,K177=FALSE),B177,"")))))))), "")</f>
        <v/>
      </c>
    </row>
    <row r="178" spans="3:14" x14ac:dyDescent="0.2">
      <c r="C178"/>
      <c r="G178"/>
      <c r="J178"/>
      <c r="L178" s="30" t="str">
        <f ca="1">IFERROR(IF(AND(MASTER!$K$1=MASTER!$N$2,MASTER!K178="X"),"",IF(AND(MASTER!$J$1=MASTER!$N$2,MASTER!J178="X"),"",IF(AND(MASTER!$I$1=MASTER!$N$2,MASTER!I178="X"),"",IF(AND(MASTER!$H$1=MASTER!$N$2,MASTER!H178="X"),"",IF(AND(MASTER!$G$1=MASTER!$N$2,MASTER!G178="X"),"",IF(AND(MASTER!$F$1=MASTER!$N$2,MASTER!F178="X"),"",IF(AND(MASTER!$E$1=MASTER!$N$2,MASTER!E178="X"),"",IF(AND($Q$2&lt;&gt;D178,$Q$2&lt;&gt;E178,$Q$2&lt;&gt;F178,I178="6 to 2",J178=FALSE,K178=FALSE),B178,"")))))))), "")</f>
        <v/>
      </c>
      <c r="M178" s="34" t="str">
        <f ca="1">IFERROR(IF(AND(MASTER!$K$1=MASTER!$N$2,MASTER!K178="X"),"",IF(AND(MASTER!$J$1=MASTER!$N$2,MASTER!J178="X"),"",IF(AND(MASTER!$I$1=MASTER!$N$2,MASTER!I178="X"),"",IF(AND(MASTER!$H$1=MASTER!$N$2,MASTER!H178="X"),"",IF(AND(MASTER!$G$1=MASTER!$N$2,MASTER!G178="X"),"",IF(AND(MASTER!$F$1=MASTER!$N$2,MASTER!F178="X"),"",IF(AND(MASTER!$E$1=MASTER!$N$2,MASTER!E178="X"),"",IF(AND($Q$2&lt;&gt;D178,$Q$2&lt;&gt;E178,$Q$2&lt;&gt;F178,I178="2 to 10",J178=FALSE,K178=FALSE),B178,"")))))))), "")</f>
        <v/>
      </c>
      <c r="N178" s="44" t="str">
        <f ca="1">IFERROR(IF(AND(MASTER!$K$1=MASTER!$N$2,MASTER!K178="X"),"",IF(AND(MASTER!$J$1=MASTER!$N$2,MASTER!J178="X"),"",IF(AND(MASTER!$I$1=MASTER!$N$2,MASTER!I178="X"),"",IF(AND(MASTER!$H$1=MASTER!$N$2,MASTER!H178="X"),"",IF(AND(MASTER!$G$1=MASTER!$N$2,MASTER!G178="X"),"",IF(AND(MASTER!$F$1=MASTER!$N$2,MASTER!F178="X"),"",IF(AND(MASTER!$E$1=MASTER!$N$2,MASTER!E178="X"),"",IF(AND($Q$2&lt;&gt;D178,$Q$2&lt;&gt;E178,$Q$2&lt;&gt;F178,I178="10 to 6",J178=FALSE,K178=FALSE),B178,"")))))))), "")</f>
        <v/>
      </c>
    </row>
    <row r="179" spans="3:14" x14ac:dyDescent="0.2">
      <c r="C179"/>
      <c r="G179"/>
      <c r="J179"/>
      <c r="L179" s="30" t="str">
        <f ca="1">IFERROR(IF(AND(MASTER!$K$1=MASTER!$N$2,MASTER!K179="X"),"",IF(AND(MASTER!$J$1=MASTER!$N$2,MASTER!J179="X"),"",IF(AND(MASTER!$I$1=MASTER!$N$2,MASTER!I179="X"),"",IF(AND(MASTER!$H$1=MASTER!$N$2,MASTER!H179="X"),"",IF(AND(MASTER!$G$1=MASTER!$N$2,MASTER!G179="X"),"",IF(AND(MASTER!$F$1=MASTER!$N$2,MASTER!F179="X"),"",IF(AND(MASTER!$E$1=MASTER!$N$2,MASTER!E179="X"),"",IF(AND($Q$2&lt;&gt;D179,$Q$2&lt;&gt;E179,$Q$2&lt;&gt;F179,I179="6 to 2",J179=FALSE,K179=FALSE),B179,"")))))))), "")</f>
        <v/>
      </c>
      <c r="M179" s="34" t="str">
        <f ca="1">IFERROR(IF(AND(MASTER!$K$1=MASTER!$N$2,MASTER!K179="X"),"",IF(AND(MASTER!$J$1=MASTER!$N$2,MASTER!J179="X"),"",IF(AND(MASTER!$I$1=MASTER!$N$2,MASTER!I179="X"),"",IF(AND(MASTER!$H$1=MASTER!$N$2,MASTER!H179="X"),"",IF(AND(MASTER!$G$1=MASTER!$N$2,MASTER!G179="X"),"",IF(AND(MASTER!$F$1=MASTER!$N$2,MASTER!F179="X"),"",IF(AND(MASTER!$E$1=MASTER!$N$2,MASTER!E179="X"),"",IF(AND($Q$2&lt;&gt;D179,$Q$2&lt;&gt;E179,$Q$2&lt;&gt;F179,I179="2 to 10",J179=FALSE,K179=FALSE),B179,"")))))))), "")</f>
        <v/>
      </c>
      <c r="N179" s="44" t="str">
        <f ca="1">IFERROR(IF(AND(MASTER!$K$1=MASTER!$N$2,MASTER!K179="X"),"",IF(AND(MASTER!$J$1=MASTER!$N$2,MASTER!J179="X"),"",IF(AND(MASTER!$I$1=MASTER!$N$2,MASTER!I179="X"),"",IF(AND(MASTER!$H$1=MASTER!$N$2,MASTER!H179="X"),"",IF(AND(MASTER!$G$1=MASTER!$N$2,MASTER!G179="X"),"",IF(AND(MASTER!$F$1=MASTER!$N$2,MASTER!F179="X"),"",IF(AND(MASTER!$E$1=MASTER!$N$2,MASTER!E179="X"),"",IF(AND($Q$2&lt;&gt;D179,$Q$2&lt;&gt;E179,$Q$2&lt;&gt;F179,I179="10 to 6",J179=FALSE,K179=FALSE),B179,"")))))))), "")</f>
        <v/>
      </c>
    </row>
    <row r="180" spans="3:14" x14ac:dyDescent="0.2">
      <c r="C180"/>
      <c r="G180"/>
      <c r="J180"/>
      <c r="L180" s="30" t="str">
        <f ca="1">IFERROR(IF(AND(MASTER!$K$1=MASTER!$N$2,MASTER!K180="X"),"",IF(AND(MASTER!$J$1=MASTER!$N$2,MASTER!J180="X"),"",IF(AND(MASTER!$I$1=MASTER!$N$2,MASTER!I180="X"),"",IF(AND(MASTER!$H$1=MASTER!$N$2,MASTER!H180="X"),"",IF(AND(MASTER!$G$1=MASTER!$N$2,MASTER!G180="X"),"",IF(AND(MASTER!$F$1=MASTER!$N$2,MASTER!F180="X"),"",IF(AND(MASTER!$E$1=MASTER!$N$2,MASTER!E180="X"),"",IF(AND($Q$2&lt;&gt;D180,$Q$2&lt;&gt;E180,$Q$2&lt;&gt;F180,I180="6 to 2",J180=FALSE,K180=FALSE),B180,"")))))))), "")</f>
        <v/>
      </c>
      <c r="M180" s="34" t="str">
        <f ca="1">IFERROR(IF(AND(MASTER!$K$1=MASTER!$N$2,MASTER!K180="X"),"",IF(AND(MASTER!$J$1=MASTER!$N$2,MASTER!J180="X"),"",IF(AND(MASTER!$I$1=MASTER!$N$2,MASTER!I180="X"),"",IF(AND(MASTER!$H$1=MASTER!$N$2,MASTER!H180="X"),"",IF(AND(MASTER!$G$1=MASTER!$N$2,MASTER!G180="X"),"",IF(AND(MASTER!$F$1=MASTER!$N$2,MASTER!F180="X"),"",IF(AND(MASTER!$E$1=MASTER!$N$2,MASTER!E180="X"),"",IF(AND($Q$2&lt;&gt;D180,$Q$2&lt;&gt;E180,$Q$2&lt;&gt;F180,I180="2 to 10",J180=FALSE,K180=FALSE),B180,"")))))))), "")</f>
        <v/>
      </c>
      <c r="N180" s="44" t="str">
        <f ca="1">IFERROR(IF(AND(MASTER!$K$1=MASTER!$N$2,MASTER!K180="X"),"",IF(AND(MASTER!$J$1=MASTER!$N$2,MASTER!J180="X"),"",IF(AND(MASTER!$I$1=MASTER!$N$2,MASTER!I180="X"),"",IF(AND(MASTER!$H$1=MASTER!$N$2,MASTER!H180="X"),"",IF(AND(MASTER!$G$1=MASTER!$N$2,MASTER!G180="X"),"",IF(AND(MASTER!$F$1=MASTER!$N$2,MASTER!F180="X"),"",IF(AND(MASTER!$E$1=MASTER!$N$2,MASTER!E180="X"),"",IF(AND($Q$2&lt;&gt;D180,$Q$2&lt;&gt;E180,$Q$2&lt;&gt;F180,I180="10 to 6",J180=FALSE,K180=FALSE),B180,"")))))))), "")</f>
        <v/>
      </c>
    </row>
    <row r="181" spans="3:14" x14ac:dyDescent="0.2">
      <c r="C181"/>
      <c r="G181"/>
      <c r="J181"/>
      <c r="L181" s="30" t="str">
        <f ca="1">IFERROR(IF(AND(MASTER!$K$1=MASTER!$N$2,MASTER!K181="X"),"",IF(AND(MASTER!$J$1=MASTER!$N$2,MASTER!J181="X"),"",IF(AND(MASTER!$I$1=MASTER!$N$2,MASTER!I181="X"),"",IF(AND(MASTER!$H$1=MASTER!$N$2,MASTER!H181="X"),"",IF(AND(MASTER!$G$1=MASTER!$N$2,MASTER!G181="X"),"",IF(AND(MASTER!$F$1=MASTER!$N$2,MASTER!F181="X"),"",IF(AND(MASTER!$E$1=MASTER!$N$2,MASTER!E181="X"),"",IF(AND($Q$2&lt;&gt;D181,$Q$2&lt;&gt;E181,$Q$2&lt;&gt;F181,I181="6 to 2",J181=FALSE,K181=FALSE),B181,"")))))))), "")</f>
        <v/>
      </c>
      <c r="M181" s="34" t="str">
        <f ca="1">IFERROR(IF(AND(MASTER!$K$1=MASTER!$N$2,MASTER!K181="X"),"",IF(AND(MASTER!$J$1=MASTER!$N$2,MASTER!J181="X"),"",IF(AND(MASTER!$I$1=MASTER!$N$2,MASTER!I181="X"),"",IF(AND(MASTER!$H$1=MASTER!$N$2,MASTER!H181="X"),"",IF(AND(MASTER!$G$1=MASTER!$N$2,MASTER!G181="X"),"",IF(AND(MASTER!$F$1=MASTER!$N$2,MASTER!F181="X"),"",IF(AND(MASTER!$E$1=MASTER!$N$2,MASTER!E181="X"),"",IF(AND($Q$2&lt;&gt;D181,$Q$2&lt;&gt;E181,$Q$2&lt;&gt;F181,I181="2 to 10",J181=FALSE,K181=FALSE),B181,"")))))))), "")</f>
        <v/>
      </c>
      <c r="N181" s="44" t="str">
        <f ca="1">IFERROR(IF(AND(MASTER!$K$1=MASTER!$N$2,MASTER!K181="X"),"",IF(AND(MASTER!$J$1=MASTER!$N$2,MASTER!J181="X"),"",IF(AND(MASTER!$I$1=MASTER!$N$2,MASTER!I181="X"),"",IF(AND(MASTER!$H$1=MASTER!$N$2,MASTER!H181="X"),"",IF(AND(MASTER!$G$1=MASTER!$N$2,MASTER!G181="X"),"",IF(AND(MASTER!$F$1=MASTER!$N$2,MASTER!F181="X"),"",IF(AND(MASTER!$E$1=MASTER!$N$2,MASTER!E181="X"),"",IF(AND($Q$2&lt;&gt;D181,$Q$2&lt;&gt;E181,$Q$2&lt;&gt;F181,I181="10 to 6",J181=FALSE,K181=FALSE),B181,"")))))))), "")</f>
        <v/>
      </c>
    </row>
    <row r="182" spans="3:14" x14ac:dyDescent="0.2">
      <c r="C182"/>
      <c r="G182"/>
      <c r="J182"/>
      <c r="L182" s="30" t="str">
        <f ca="1">IFERROR(IF(AND(MASTER!$K$1=MASTER!$N$2,MASTER!K182="X"),"",IF(AND(MASTER!$J$1=MASTER!$N$2,MASTER!J182="X"),"",IF(AND(MASTER!$I$1=MASTER!$N$2,MASTER!I182="X"),"",IF(AND(MASTER!$H$1=MASTER!$N$2,MASTER!H182="X"),"",IF(AND(MASTER!$G$1=MASTER!$N$2,MASTER!G182="X"),"",IF(AND(MASTER!$F$1=MASTER!$N$2,MASTER!F182="X"),"",IF(AND(MASTER!$E$1=MASTER!$N$2,MASTER!E182="X"),"",IF(AND($Q$2&lt;&gt;D182,$Q$2&lt;&gt;E182,$Q$2&lt;&gt;F182,I182="6 to 2",J182=FALSE,K182=FALSE),B182,"")))))))), "")</f>
        <v/>
      </c>
      <c r="M182" s="34" t="str">
        <f ca="1">IFERROR(IF(AND(MASTER!$K$1=MASTER!$N$2,MASTER!K182="X"),"",IF(AND(MASTER!$J$1=MASTER!$N$2,MASTER!J182="X"),"",IF(AND(MASTER!$I$1=MASTER!$N$2,MASTER!I182="X"),"",IF(AND(MASTER!$H$1=MASTER!$N$2,MASTER!H182="X"),"",IF(AND(MASTER!$G$1=MASTER!$N$2,MASTER!G182="X"),"",IF(AND(MASTER!$F$1=MASTER!$N$2,MASTER!F182="X"),"",IF(AND(MASTER!$E$1=MASTER!$N$2,MASTER!E182="X"),"",IF(AND($Q$2&lt;&gt;D182,$Q$2&lt;&gt;E182,$Q$2&lt;&gt;F182,I182="2 to 10",J182=FALSE,K182=FALSE),B182,"")))))))), "")</f>
        <v/>
      </c>
      <c r="N182" s="44" t="str">
        <f ca="1">IFERROR(IF(AND(MASTER!$K$1=MASTER!$N$2,MASTER!K182="X"),"",IF(AND(MASTER!$J$1=MASTER!$N$2,MASTER!J182="X"),"",IF(AND(MASTER!$I$1=MASTER!$N$2,MASTER!I182="X"),"",IF(AND(MASTER!$H$1=MASTER!$N$2,MASTER!H182="X"),"",IF(AND(MASTER!$G$1=MASTER!$N$2,MASTER!G182="X"),"",IF(AND(MASTER!$F$1=MASTER!$N$2,MASTER!F182="X"),"",IF(AND(MASTER!$E$1=MASTER!$N$2,MASTER!E182="X"),"",IF(AND($Q$2&lt;&gt;D182,$Q$2&lt;&gt;E182,$Q$2&lt;&gt;F182,I182="10 to 6",J182=FALSE,K182=FALSE),B182,"")))))))), "")</f>
        <v/>
      </c>
    </row>
    <row r="183" spans="3:14" x14ac:dyDescent="0.2">
      <c r="C183"/>
      <c r="G183"/>
      <c r="J183"/>
      <c r="L183" s="30" t="str">
        <f ca="1">IFERROR(IF(AND(MASTER!$K$1=MASTER!$N$2,MASTER!K183="X"),"",IF(AND(MASTER!$J$1=MASTER!$N$2,MASTER!J183="X"),"",IF(AND(MASTER!$I$1=MASTER!$N$2,MASTER!I183="X"),"",IF(AND(MASTER!$H$1=MASTER!$N$2,MASTER!H183="X"),"",IF(AND(MASTER!$G$1=MASTER!$N$2,MASTER!G183="X"),"",IF(AND(MASTER!$F$1=MASTER!$N$2,MASTER!F183="X"),"",IF(AND(MASTER!$E$1=MASTER!$N$2,MASTER!E183="X"),"",IF(AND($Q$2&lt;&gt;D183,$Q$2&lt;&gt;E183,$Q$2&lt;&gt;F183,I183="6 to 2",J183=FALSE,K183=FALSE),B183,"")))))))), "")</f>
        <v/>
      </c>
      <c r="M183" s="34" t="str">
        <f ca="1">IFERROR(IF(AND(MASTER!$K$1=MASTER!$N$2,MASTER!K183="X"),"",IF(AND(MASTER!$J$1=MASTER!$N$2,MASTER!J183="X"),"",IF(AND(MASTER!$I$1=MASTER!$N$2,MASTER!I183="X"),"",IF(AND(MASTER!$H$1=MASTER!$N$2,MASTER!H183="X"),"",IF(AND(MASTER!$G$1=MASTER!$N$2,MASTER!G183="X"),"",IF(AND(MASTER!$F$1=MASTER!$N$2,MASTER!F183="X"),"",IF(AND(MASTER!$E$1=MASTER!$N$2,MASTER!E183="X"),"",IF(AND($Q$2&lt;&gt;D183,$Q$2&lt;&gt;E183,$Q$2&lt;&gt;F183,I183="2 to 10",J183=FALSE,K183=FALSE),B183,"")))))))), "")</f>
        <v/>
      </c>
      <c r="N183" s="44" t="str">
        <f ca="1">IFERROR(IF(AND(MASTER!$K$1=MASTER!$N$2,MASTER!K183="X"),"",IF(AND(MASTER!$J$1=MASTER!$N$2,MASTER!J183="X"),"",IF(AND(MASTER!$I$1=MASTER!$N$2,MASTER!I183="X"),"",IF(AND(MASTER!$H$1=MASTER!$N$2,MASTER!H183="X"),"",IF(AND(MASTER!$G$1=MASTER!$N$2,MASTER!G183="X"),"",IF(AND(MASTER!$F$1=MASTER!$N$2,MASTER!F183="X"),"",IF(AND(MASTER!$E$1=MASTER!$N$2,MASTER!E183="X"),"",IF(AND($Q$2&lt;&gt;D183,$Q$2&lt;&gt;E183,$Q$2&lt;&gt;F183,I183="10 to 6",J183=FALSE,K183=FALSE),B183,"")))))))), "")</f>
        <v/>
      </c>
    </row>
    <row r="184" spans="3:14" x14ac:dyDescent="0.2">
      <c r="C184"/>
      <c r="G184"/>
      <c r="J184"/>
      <c r="L184" s="30" t="str">
        <f ca="1">IFERROR(IF(AND(MASTER!$K$1=MASTER!$N$2,MASTER!K184="X"),"",IF(AND(MASTER!$J$1=MASTER!$N$2,MASTER!J184="X"),"",IF(AND(MASTER!$I$1=MASTER!$N$2,MASTER!I184="X"),"",IF(AND(MASTER!$H$1=MASTER!$N$2,MASTER!H184="X"),"",IF(AND(MASTER!$G$1=MASTER!$N$2,MASTER!G184="X"),"",IF(AND(MASTER!$F$1=MASTER!$N$2,MASTER!F184="X"),"",IF(AND(MASTER!$E$1=MASTER!$N$2,MASTER!E184="X"),"",IF(AND($Q$2&lt;&gt;D184,$Q$2&lt;&gt;E184,$Q$2&lt;&gt;F184,I184="6 to 2",J184=FALSE,K184=FALSE),B184,"")))))))), "")</f>
        <v/>
      </c>
      <c r="M184" s="34" t="str">
        <f ca="1">IFERROR(IF(AND(MASTER!$K$1=MASTER!$N$2,MASTER!K184="X"),"",IF(AND(MASTER!$J$1=MASTER!$N$2,MASTER!J184="X"),"",IF(AND(MASTER!$I$1=MASTER!$N$2,MASTER!I184="X"),"",IF(AND(MASTER!$H$1=MASTER!$N$2,MASTER!H184="X"),"",IF(AND(MASTER!$G$1=MASTER!$N$2,MASTER!G184="X"),"",IF(AND(MASTER!$F$1=MASTER!$N$2,MASTER!F184="X"),"",IF(AND(MASTER!$E$1=MASTER!$N$2,MASTER!E184="X"),"",IF(AND($Q$2&lt;&gt;D184,$Q$2&lt;&gt;E184,$Q$2&lt;&gt;F184,I184="2 to 10",J184=FALSE,K184=FALSE),B184,"")))))))), "")</f>
        <v/>
      </c>
      <c r="N184" s="44" t="str">
        <f ca="1">IFERROR(IF(AND(MASTER!$K$1=MASTER!$N$2,MASTER!K184="X"),"",IF(AND(MASTER!$J$1=MASTER!$N$2,MASTER!J184="X"),"",IF(AND(MASTER!$I$1=MASTER!$N$2,MASTER!I184="X"),"",IF(AND(MASTER!$H$1=MASTER!$N$2,MASTER!H184="X"),"",IF(AND(MASTER!$G$1=MASTER!$N$2,MASTER!G184="X"),"",IF(AND(MASTER!$F$1=MASTER!$N$2,MASTER!F184="X"),"",IF(AND(MASTER!$E$1=MASTER!$N$2,MASTER!E184="X"),"",IF(AND($Q$2&lt;&gt;D184,$Q$2&lt;&gt;E184,$Q$2&lt;&gt;F184,I184="10 to 6",J184=FALSE,K184=FALSE),B184,"")))))))), "")</f>
        <v/>
      </c>
    </row>
    <row r="185" spans="3:14" x14ac:dyDescent="0.2">
      <c r="C185"/>
      <c r="G185"/>
      <c r="J185"/>
      <c r="L185" s="30" t="str">
        <f ca="1">IFERROR(IF(AND(MASTER!$K$1=MASTER!$N$2,MASTER!K185="X"),"",IF(AND(MASTER!$J$1=MASTER!$N$2,MASTER!J185="X"),"",IF(AND(MASTER!$I$1=MASTER!$N$2,MASTER!I185="X"),"",IF(AND(MASTER!$H$1=MASTER!$N$2,MASTER!H185="X"),"",IF(AND(MASTER!$G$1=MASTER!$N$2,MASTER!G185="X"),"",IF(AND(MASTER!$F$1=MASTER!$N$2,MASTER!F185="X"),"",IF(AND(MASTER!$E$1=MASTER!$N$2,MASTER!E185="X"),"",IF(AND($Q$2&lt;&gt;D185,$Q$2&lt;&gt;E185,$Q$2&lt;&gt;F185,I185="6 to 2",J185=FALSE,K185=FALSE),B185,"")))))))), "")</f>
        <v/>
      </c>
      <c r="M185" s="34" t="str">
        <f ca="1">IFERROR(IF(AND(MASTER!$K$1=MASTER!$N$2,MASTER!K185="X"),"",IF(AND(MASTER!$J$1=MASTER!$N$2,MASTER!J185="X"),"",IF(AND(MASTER!$I$1=MASTER!$N$2,MASTER!I185="X"),"",IF(AND(MASTER!$H$1=MASTER!$N$2,MASTER!H185="X"),"",IF(AND(MASTER!$G$1=MASTER!$N$2,MASTER!G185="X"),"",IF(AND(MASTER!$F$1=MASTER!$N$2,MASTER!F185="X"),"",IF(AND(MASTER!$E$1=MASTER!$N$2,MASTER!E185="X"),"",IF(AND($Q$2&lt;&gt;D185,$Q$2&lt;&gt;E185,$Q$2&lt;&gt;F185,I185="2 to 10",J185=FALSE,K185=FALSE),B185,"")))))))), "")</f>
        <v/>
      </c>
      <c r="N185" s="44" t="str">
        <f ca="1">IFERROR(IF(AND(MASTER!$K$1=MASTER!$N$2,MASTER!K185="X"),"",IF(AND(MASTER!$J$1=MASTER!$N$2,MASTER!J185="X"),"",IF(AND(MASTER!$I$1=MASTER!$N$2,MASTER!I185="X"),"",IF(AND(MASTER!$H$1=MASTER!$N$2,MASTER!H185="X"),"",IF(AND(MASTER!$G$1=MASTER!$N$2,MASTER!G185="X"),"",IF(AND(MASTER!$F$1=MASTER!$N$2,MASTER!F185="X"),"",IF(AND(MASTER!$E$1=MASTER!$N$2,MASTER!E185="X"),"",IF(AND($Q$2&lt;&gt;D185,$Q$2&lt;&gt;E185,$Q$2&lt;&gt;F185,I185="10 to 6",J185=FALSE,K185=FALSE),B185,"")))))))), "")</f>
        <v/>
      </c>
    </row>
    <row r="186" spans="3:14" x14ac:dyDescent="0.2">
      <c r="C186"/>
      <c r="G186"/>
      <c r="J186"/>
      <c r="L186" s="30" t="str">
        <f ca="1">IFERROR(IF(AND(MASTER!$K$1=MASTER!$N$2,MASTER!K186="X"),"",IF(AND(MASTER!$J$1=MASTER!$N$2,MASTER!J186="X"),"",IF(AND(MASTER!$I$1=MASTER!$N$2,MASTER!I186="X"),"",IF(AND(MASTER!$H$1=MASTER!$N$2,MASTER!H186="X"),"",IF(AND(MASTER!$G$1=MASTER!$N$2,MASTER!G186="X"),"",IF(AND(MASTER!$F$1=MASTER!$N$2,MASTER!F186="X"),"",IF(AND(MASTER!$E$1=MASTER!$N$2,MASTER!E186="X"),"",IF(AND($Q$2&lt;&gt;D186,$Q$2&lt;&gt;E186,$Q$2&lt;&gt;F186,I186="6 to 2",J186=FALSE,K186=FALSE),B186,"")))))))), "")</f>
        <v/>
      </c>
      <c r="M186" s="34" t="str">
        <f ca="1">IFERROR(IF(AND(MASTER!$K$1=MASTER!$N$2,MASTER!K186="X"),"",IF(AND(MASTER!$J$1=MASTER!$N$2,MASTER!J186="X"),"",IF(AND(MASTER!$I$1=MASTER!$N$2,MASTER!I186="X"),"",IF(AND(MASTER!$H$1=MASTER!$N$2,MASTER!H186="X"),"",IF(AND(MASTER!$G$1=MASTER!$N$2,MASTER!G186="X"),"",IF(AND(MASTER!$F$1=MASTER!$N$2,MASTER!F186="X"),"",IF(AND(MASTER!$E$1=MASTER!$N$2,MASTER!E186="X"),"",IF(AND($Q$2&lt;&gt;D186,$Q$2&lt;&gt;E186,$Q$2&lt;&gt;F186,I186="2 to 10",J186=FALSE,K186=FALSE),B186,"")))))))), "")</f>
        <v/>
      </c>
      <c r="N186" s="44" t="str">
        <f ca="1">IFERROR(IF(AND(MASTER!$K$1=MASTER!$N$2,MASTER!K186="X"),"",IF(AND(MASTER!$J$1=MASTER!$N$2,MASTER!J186="X"),"",IF(AND(MASTER!$I$1=MASTER!$N$2,MASTER!I186="X"),"",IF(AND(MASTER!$H$1=MASTER!$N$2,MASTER!H186="X"),"",IF(AND(MASTER!$G$1=MASTER!$N$2,MASTER!G186="X"),"",IF(AND(MASTER!$F$1=MASTER!$N$2,MASTER!F186="X"),"",IF(AND(MASTER!$E$1=MASTER!$N$2,MASTER!E186="X"),"",IF(AND($Q$2&lt;&gt;D186,$Q$2&lt;&gt;E186,$Q$2&lt;&gt;F186,I186="10 to 6",J186=FALSE,K186=FALSE),B186,"")))))))), "")</f>
        <v/>
      </c>
    </row>
    <row r="187" spans="3:14" x14ac:dyDescent="0.2">
      <c r="C187"/>
      <c r="G187"/>
      <c r="J187"/>
      <c r="L187" s="30" t="str">
        <f ca="1">IFERROR(IF(AND(MASTER!$K$1=MASTER!$N$2,MASTER!K187="X"),"",IF(AND(MASTER!$J$1=MASTER!$N$2,MASTER!J187="X"),"",IF(AND(MASTER!$I$1=MASTER!$N$2,MASTER!I187="X"),"",IF(AND(MASTER!$H$1=MASTER!$N$2,MASTER!H187="X"),"",IF(AND(MASTER!$G$1=MASTER!$N$2,MASTER!G187="X"),"",IF(AND(MASTER!$F$1=MASTER!$N$2,MASTER!F187="X"),"",IF(AND(MASTER!$E$1=MASTER!$N$2,MASTER!E187="X"),"",IF(AND($Q$2&lt;&gt;D187,$Q$2&lt;&gt;E187,$Q$2&lt;&gt;F187,I187="6 to 2",J187=FALSE,K187=FALSE),B187,"")))))))), "")</f>
        <v/>
      </c>
      <c r="M187" s="34" t="str">
        <f ca="1">IFERROR(IF(AND(MASTER!$K$1=MASTER!$N$2,MASTER!K187="X"),"",IF(AND(MASTER!$J$1=MASTER!$N$2,MASTER!J187="X"),"",IF(AND(MASTER!$I$1=MASTER!$N$2,MASTER!I187="X"),"",IF(AND(MASTER!$H$1=MASTER!$N$2,MASTER!H187="X"),"",IF(AND(MASTER!$G$1=MASTER!$N$2,MASTER!G187="X"),"",IF(AND(MASTER!$F$1=MASTER!$N$2,MASTER!F187="X"),"",IF(AND(MASTER!$E$1=MASTER!$N$2,MASTER!E187="X"),"",IF(AND($Q$2&lt;&gt;D187,$Q$2&lt;&gt;E187,$Q$2&lt;&gt;F187,I187="2 to 10",J187=FALSE,K187=FALSE),B187,"")))))))), "")</f>
        <v/>
      </c>
      <c r="N187" s="44" t="str">
        <f ca="1">IFERROR(IF(AND(MASTER!$K$1=MASTER!$N$2,MASTER!K187="X"),"",IF(AND(MASTER!$J$1=MASTER!$N$2,MASTER!J187="X"),"",IF(AND(MASTER!$I$1=MASTER!$N$2,MASTER!I187="X"),"",IF(AND(MASTER!$H$1=MASTER!$N$2,MASTER!H187="X"),"",IF(AND(MASTER!$G$1=MASTER!$N$2,MASTER!G187="X"),"",IF(AND(MASTER!$F$1=MASTER!$N$2,MASTER!F187="X"),"",IF(AND(MASTER!$E$1=MASTER!$N$2,MASTER!E187="X"),"",IF(AND($Q$2&lt;&gt;D187,$Q$2&lt;&gt;E187,$Q$2&lt;&gt;F187,I187="10 to 6",J187=FALSE,K187=FALSE),B187,"")))))))), "")</f>
        <v/>
      </c>
    </row>
    <row r="188" spans="3:14" x14ac:dyDescent="0.2">
      <c r="C188"/>
      <c r="G188"/>
      <c r="J188"/>
      <c r="L188" s="30" t="str">
        <f ca="1">IFERROR(IF(AND(MASTER!$K$1=MASTER!$N$2,MASTER!K188="X"),"",IF(AND(MASTER!$J$1=MASTER!$N$2,MASTER!J188="X"),"",IF(AND(MASTER!$I$1=MASTER!$N$2,MASTER!I188="X"),"",IF(AND(MASTER!$H$1=MASTER!$N$2,MASTER!H188="X"),"",IF(AND(MASTER!$G$1=MASTER!$N$2,MASTER!G188="X"),"",IF(AND(MASTER!$F$1=MASTER!$N$2,MASTER!F188="X"),"",IF(AND(MASTER!$E$1=MASTER!$N$2,MASTER!E188="X"),"",IF(AND($Q$2&lt;&gt;D188,$Q$2&lt;&gt;E188,$Q$2&lt;&gt;F188,I188="6 to 2",J188=FALSE,K188=FALSE),B188,"")))))))), "")</f>
        <v/>
      </c>
      <c r="M188" s="34" t="str">
        <f ca="1">IFERROR(IF(AND(MASTER!$K$1=MASTER!$N$2,MASTER!K188="X"),"",IF(AND(MASTER!$J$1=MASTER!$N$2,MASTER!J188="X"),"",IF(AND(MASTER!$I$1=MASTER!$N$2,MASTER!I188="X"),"",IF(AND(MASTER!$H$1=MASTER!$N$2,MASTER!H188="X"),"",IF(AND(MASTER!$G$1=MASTER!$N$2,MASTER!G188="X"),"",IF(AND(MASTER!$F$1=MASTER!$N$2,MASTER!F188="X"),"",IF(AND(MASTER!$E$1=MASTER!$N$2,MASTER!E188="X"),"",IF(AND($Q$2&lt;&gt;D188,$Q$2&lt;&gt;E188,$Q$2&lt;&gt;F188,I188="2 to 10",J188=FALSE,K188=FALSE),B188,"")))))))), "")</f>
        <v/>
      </c>
      <c r="N188" s="44" t="str">
        <f ca="1">IFERROR(IF(AND(MASTER!$K$1=MASTER!$N$2,MASTER!K188="X"),"",IF(AND(MASTER!$J$1=MASTER!$N$2,MASTER!J188="X"),"",IF(AND(MASTER!$I$1=MASTER!$N$2,MASTER!I188="X"),"",IF(AND(MASTER!$H$1=MASTER!$N$2,MASTER!H188="X"),"",IF(AND(MASTER!$G$1=MASTER!$N$2,MASTER!G188="X"),"",IF(AND(MASTER!$F$1=MASTER!$N$2,MASTER!F188="X"),"",IF(AND(MASTER!$E$1=MASTER!$N$2,MASTER!E188="X"),"",IF(AND($Q$2&lt;&gt;D188,$Q$2&lt;&gt;E188,$Q$2&lt;&gt;F188,I188="10 to 6",J188=FALSE,K188=FALSE),B188,"")))))))), "")</f>
        <v/>
      </c>
    </row>
    <row r="189" spans="3:14" x14ac:dyDescent="0.2">
      <c r="C189"/>
      <c r="G189"/>
      <c r="J189"/>
      <c r="L189" s="30" t="str">
        <f ca="1">IFERROR(IF(AND(MASTER!$K$1=MASTER!$N$2,MASTER!K189="X"),"",IF(AND(MASTER!$J$1=MASTER!$N$2,MASTER!J189="X"),"",IF(AND(MASTER!$I$1=MASTER!$N$2,MASTER!I189="X"),"",IF(AND(MASTER!$H$1=MASTER!$N$2,MASTER!H189="X"),"",IF(AND(MASTER!$G$1=MASTER!$N$2,MASTER!G189="X"),"",IF(AND(MASTER!$F$1=MASTER!$N$2,MASTER!F189="X"),"",IF(AND(MASTER!$E$1=MASTER!$N$2,MASTER!E189="X"),"",IF(AND($Q$2&lt;&gt;D189,$Q$2&lt;&gt;E189,$Q$2&lt;&gt;F189,I189="6 to 2",J189=FALSE,K189=FALSE),B189,"")))))))), "")</f>
        <v/>
      </c>
      <c r="M189" s="34" t="str">
        <f ca="1">IFERROR(IF(AND(MASTER!$K$1=MASTER!$N$2,MASTER!K189="X"),"",IF(AND(MASTER!$J$1=MASTER!$N$2,MASTER!J189="X"),"",IF(AND(MASTER!$I$1=MASTER!$N$2,MASTER!I189="X"),"",IF(AND(MASTER!$H$1=MASTER!$N$2,MASTER!H189="X"),"",IF(AND(MASTER!$G$1=MASTER!$N$2,MASTER!G189="X"),"",IF(AND(MASTER!$F$1=MASTER!$N$2,MASTER!F189="X"),"",IF(AND(MASTER!$E$1=MASTER!$N$2,MASTER!E189="X"),"",IF(AND($Q$2&lt;&gt;D189,$Q$2&lt;&gt;E189,$Q$2&lt;&gt;F189,I189="2 to 10",J189=FALSE,K189=FALSE),B189,"")))))))), "")</f>
        <v/>
      </c>
      <c r="N189" s="44" t="str">
        <f ca="1">IFERROR(IF(AND(MASTER!$K$1=MASTER!$N$2,MASTER!K189="X"),"",IF(AND(MASTER!$J$1=MASTER!$N$2,MASTER!J189="X"),"",IF(AND(MASTER!$I$1=MASTER!$N$2,MASTER!I189="X"),"",IF(AND(MASTER!$H$1=MASTER!$N$2,MASTER!H189="X"),"",IF(AND(MASTER!$G$1=MASTER!$N$2,MASTER!G189="X"),"",IF(AND(MASTER!$F$1=MASTER!$N$2,MASTER!F189="X"),"",IF(AND(MASTER!$E$1=MASTER!$N$2,MASTER!E189="X"),"",IF(AND($Q$2&lt;&gt;D189,$Q$2&lt;&gt;E189,$Q$2&lt;&gt;F189,I189="10 to 6",J189=FALSE,K189=FALSE),B189,"")))))))), "")</f>
        <v/>
      </c>
    </row>
    <row r="190" spans="3:14" x14ac:dyDescent="0.2">
      <c r="C190"/>
      <c r="G190"/>
      <c r="J190"/>
      <c r="L190" s="30" t="str">
        <f ca="1">IFERROR(IF(AND(MASTER!$K$1=MASTER!$N$2,MASTER!K190="X"),"",IF(AND(MASTER!$J$1=MASTER!$N$2,MASTER!J190="X"),"",IF(AND(MASTER!$I$1=MASTER!$N$2,MASTER!I190="X"),"",IF(AND(MASTER!$H$1=MASTER!$N$2,MASTER!H190="X"),"",IF(AND(MASTER!$G$1=MASTER!$N$2,MASTER!G190="X"),"",IF(AND(MASTER!$F$1=MASTER!$N$2,MASTER!F190="X"),"",IF(AND(MASTER!$E$1=MASTER!$N$2,MASTER!E190="X"),"",IF(AND($Q$2&lt;&gt;D190,$Q$2&lt;&gt;E190,$Q$2&lt;&gt;F190,I190="6 to 2",J190=FALSE,K190=FALSE),B190,"")))))))), "")</f>
        <v/>
      </c>
      <c r="M190" s="34" t="str">
        <f ca="1">IFERROR(IF(AND(MASTER!$K$1=MASTER!$N$2,MASTER!K190="X"),"",IF(AND(MASTER!$J$1=MASTER!$N$2,MASTER!J190="X"),"",IF(AND(MASTER!$I$1=MASTER!$N$2,MASTER!I190="X"),"",IF(AND(MASTER!$H$1=MASTER!$N$2,MASTER!H190="X"),"",IF(AND(MASTER!$G$1=MASTER!$N$2,MASTER!G190="X"),"",IF(AND(MASTER!$F$1=MASTER!$N$2,MASTER!F190="X"),"",IF(AND(MASTER!$E$1=MASTER!$N$2,MASTER!E190="X"),"",IF(AND($Q$2&lt;&gt;D190,$Q$2&lt;&gt;E190,$Q$2&lt;&gt;F190,I190="2 to 10",J190=FALSE,K190=FALSE),B190,"")))))))), "")</f>
        <v/>
      </c>
      <c r="N190" s="44" t="str">
        <f ca="1">IFERROR(IF(AND(MASTER!$K$1=MASTER!$N$2,MASTER!K190="X"),"",IF(AND(MASTER!$J$1=MASTER!$N$2,MASTER!J190="X"),"",IF(AND(MASTER!$I$1=MASTER!$N$2,MASTER!I190="X"),"",IF(AND(MASTER!$H$1=MASTER!$N$2,MASTER!H190="X"),"",IF(AND(MASTER!$G$1=MASTER!$N$2,MASTER!G190="X"),"",IF(AND(MASTER!$F$1=MASTER!$N$2,MASTER!F190="X"),"",IF(AND(MASTER!$E$1=MASTER!$N$2,MASTER!E190="X"),"",IF(AND($Q$2&lt;&gt;D190,$Q$2&lt;&gt;E190,$Q$2&lt;&gt;F190,I190="10 to 6",J190=FALSE,K190=FALSE),B190,"")))))))), "")</f>
        <v/>
      </c>
    </row>
    <row r="191" spans="3:14" x14ac:dyDescent="0.2">
      <c r="C191"/>
      <c r="G191"/>
      <c r="J191"/>
      <c r="L191" s="30" t="str">
        <f ca="1">IFERROR(IF(AND(MASTER!$K$1=MASTER!$N$2,MASTER!K191="X"),"",IF(AND(MASTER!$J$1=MASTER!$N$2,MASTER!J191="X"),"",IF(AND(MASTER!$I$1=MASTER!$N$2,MASTER!I191="X"),"",IF(AND(MASTER!$H$1=MASTER!$N$2,MASTER!H191="X"),"",IF(AND(MASTER!$G$1=MASTER!$N$2,MASTER!G191="X"),"",IF(AND(MASTER!$F$1=MASTER!$N$2,MASTER!F191="X"),"",IF(AND(MASTER!$E$1=MASTER!$N$2,MASTER!E191="X"),"",IF(AND($Q$2&lt;&gt;D191,$Q$2&lt;&gt;E191,$Q$2&lt;&gt;F191,I191="6 to 2",J191=FALSE,K191=FALSE),B191,"")))))))), "")</f>
        <v/>
      </c>
      <c r="M191" s="34" t="str">
        <f ca="1">IFERROR(IF(AND(MASTER!$K$1=MASTER!$N$2,MASTER!K191="X"),"",IF(AND(MASTER!$J$1=MASTER!$N$2,MASTER!J191="X"),"",IF(AND(MASTER!$I$1=MASTER!$N$2,MASTER!I191="X"),"",IF(AND(MASTER!$H$1=MASTER!$N$2,MASTER!H191="X"),"",IF(AND(MASTER!$G$1=MASTER!$N$2,MASTER!G191="X"),"",IF(AND(MASTER!$F$1=MASTER!$N$2,MASTER!F191="X"),"",IF(AND(MASTER!$E$1=MASTER!$N$2,MASTER!E191="X"),"",IF(AND($Q$2&lt;&gt;D191,$Q$2&lt;&gt;E191,$Q$2&lt;&gt;F191,I191="2 to 10",J191=FALSE,K191=FALSE),B191,"")))))))), "")</f>
        <v/>
      </c>
      <c r="N191" s="44" t="str">
        <f ca="1">IFERROR(IF(AND(MASTER!$K$1=MASTER!$N$2,MASTER!K191="X"),"",IF(AND(MASTER!$J$1=MASTER!$N$2,MASTER!J191="X"),"",IF(AND(MASTER!$I$1=MASTER!$N$2,MASTER!I191="X"),"",IF(AND(MASTER!$H$1=MASTER!$N$2,MASTER!H191="X"),"",IF(AND(MASTER!$G$1=MASTER!$N$2,MASTER!G191="X"),"",IF(AND(MASTER!$F$1=MASTER!$N$2,MASTER!F191="X"),"",IF(AND(MASTER!$E$1=MASTER!$N$2,MASTER!E191="X"),"",IF(AND($Q$2&lt;&gt;D191,$Q$2&lt;&gt;E191,$Q$2&lt;&gt;F191,I191="10 to 6",J191=FALSE,K191=FALSE),B191,"")))))))), "")</f>
        <v/>
      </c>
    </row>
    <row r="192" spans="3:14" x14ac:dyDescent="0.2">
      <c r="C192"/>
      <c r="G192"/>
      <c r="J192"/>
      <c r="L192" s="30" t="str">
        <f ca="1">IFERROR(IF(AND(MASTER!$K$1=MASTER!$N$2,MASTER!K192="X"),"",IF(AND(MASTER!$J$1=MASTER!$N$2,MASTER!J192="X"),"",IF(AND(MASTER!$I$1=MASTER!$N$2,MASTER!I192="X"),"",IF(AND(MASTER!$H$1=MASTER!$N$2,MASTER!H192="X"),"",IF(AND(MASTER!$G$1=MASTER!$N$2,MASTER!G192="X"),"",IF(AND(MASTER!$F$1=MASTER!$N$2,MASTER!F192="X"),"",IF(AND(MASTER!$E$1=MASTER!$N$2,MASTER!E192="X"),"",IF(AND($Q$2&lt;&gt;D192,$Q$2&lt;&gt;E192,$Q$2&lt;&gt;F192,I192="6 to 2",J192=FALSE,K192=FALSE),B192,"")))))))), "")</f>
        <v/>
      </c>
      <c r="M192" s="34" t="str">
        <f ca="1">IFERROR(IF(AND(MASTER!$K$1=MASTER!$N$2,MASTER!K192="X"),"",IF(AND(MASTER!$J$1=MASTER!$N$2,MASTER!J192="X"),"",IF(AND(MASTER!$I$1=MASTER!$N$2,MASTER!I192="X"),"",IF(AND(MASTER!$H$1=MASTER!$N$2,MASTER!H192="X"),"",IF(AND(MASTER!$G$1=MASTER!$N$2,MASTER!G192="X"),"",IF(AND(MASTER!$F$1=MASTER!$N$2,MASTER!F192="X"),"",IF(AND(MASTER!$E$1=MASTER!$N$2,MASTER!E192="X"),"",IF(AND($Q$2&lt;&gt;D192,$Q$2&lt;&gt;E192,$Q$2&lt;&gt;F192,I192="2 to 10",J192=FALSE,K192=FALSE),B192,"")))))))), "")</f>
        <v/>
      </c>
      <c r="N192" s="44" t="str">
        <f ca="1">IFERROR(IF(AND(MASTER!$K$1=MASTER!$N$2,MASTER!K192="X"),"",IF(AND(MASTER!$J$1=MASTER!$N$2,MASTER!J192="X"),"",IF(AND(MASTER!$I$1=MASTER!$N$2,MASTER!I192="X"),"",IF(AND(MASTER!$H$1=MASTER!$N$2,MASTER!H192="X"),"",IF(AND(MASTER!$G$1=MASTER!$N$2,MASTER!G192="X"),"",IF(AND(MASTER!$F$1=MASTER!$N$2,MASTER!F192="X"),"",IF(AND(MASTER!$E$1=MASTER!$N$2,MASTER!E192="X"),"",IF(AND($Q$2&lt;&gt;D192,$Q$2&lt;&gt;E192,$Q$2&lt;&gt;F192,I192="10 to 6",J192=FALSE,K192=FALSE),B192,"")))))))), "")</f>
        <v/>
      </c>
    </row>
    <row r="193" spans="3:14" x14ac:dyDescent="0.2">
      <c r="C193"/>
      <c r="G193"/>
      <c r="J193"/>
      <c r="L193" s="30" t="str">
        <f ca="1">IFERROR(IF(AND(MASTER!$K$1=MASTER!$N$2,MASTER!K193="X"),"",IF(AND(MASTER!$J$1=MASTER!$N$2,MASTER!J193="X"),"",IF(AND(MASTER!$I$1=MASTER!$N$2,MASTER!I193="X"),"",IF(AND(MASTER!$H$1=MASTER!$N$2,MASTER!H193="X"),"",IF(AND(MASTER!$G$1=MASTER!$N$2,MASTER!G193="X"),"",IF(AND(MASTER!$F$1=MASTER!$N$2,MASTER!F193="X"),"",IF(AND(MASTER!$E$1=MASTER!$N$2,MASTER!E193="X"),"",IF(AND($Q$2&lt;&gt;D193,$Q$2&lt;&gt;E193,$Q$2&lt;&gt;F193,I193="6 to 2",J193=FALSE,K193=FALSE),B193,"")))))))), "")</f>
        <v/>
      </c>
      <c r="M193" s="34" t="str">
        <f ca="1">IFERROR(IF(AND(MASTER!$K$1=MASTER!$N$2,MASTER!K193="X"),"",IF(AND(MASTER!$J$1=MASTER!$N$2,MASTER!J193="X"),"",IF(AND(MASTER!$I$1=MASTER!$N$2,MASTER!I193="X"),"",IF(AND(MASTER!$H$1=MASTER!$N$2,MASTER!H193="X"),"",IF(AND(MASTER!$G$1=MASTER!$N$2,MASTER!G193="X"),"",IF(AND(MASTER!$F$1=MASTER!$N$2,MASTER!F193="X"),"",IF(AND(MASTER!$E$1=MASTER!$N$2,MASTER!E193="X"),"",IF(AND($Q$2&lt;&gt;D193,$Q$2&lt;&gt;E193,$Q$2&lt;&gt;F193,I193="2 to 10",J193=FALSE,K193=FALSE),B193,"")))))))), "")</f>
        <v/>
      </c>
      <c r="N193" s="44" t="str">
        <f ca="1">IFERROR(IF(AND(MASTER!$K$1=MASTER!$N$2,MASTER!K193="X"),"",IF(AND(MASTER!$J$1=MASTER!$N$2,MASTER!J193="X"),"",IF(AND(MASTER!$I$1=MASTER!$N$2,MASTER!I193="X"),"",IF(AND(MASTER!$H$1=MASTER!$N$2,MASTER!H193="X"),"",IF(AND(MASTER!$G$1=MASTER!$N$2,MASTER!G193="X"),"",IF(AND(MASTER!$F$1=MASTER!$N$2,MASTER!F193="X"),"",IF(AND(MASTER!$E$1=MASTER!$N$2,MASTER!E193="X"),"",IF(AND($Q$2&lt;&gt;D193,$Q$2&lt;&gt;E193,$Q$2&lt;&gt;F193,I193="10 to 6",J193=FALSE,K193=FALSE),B193,"")))))))), "")</f>
        <v/>
      </c>
    </row>
    <row r="194" spans="3:14" x14ac:dyDescent="0.2">
      <c r="C194"/>
      <c r="G194"/>
      <c r="J194"/>
      <c r="L194" s="30" t="str">
        <f ca="1">IFERROR(IF(AND(MASTER!$K$1=MASTER!$N$2,MASTER!K194="X"),"",IF(AND(MASTER!$J$1=MASTER!$N$2,MASTER!J194="X"),"",IF(AND(MASTER!$I$1=MASTER!$N$2,MASTER!I194="X"),"",IF(AND(MASTER!$H$1=MASTER!$N$2,MASTER!H194="X"),"",IF(AND(MASTER!$G$1=MASTER!$N$2,MASTER!G194="X"),"",IF(AND(MASTER!$F$1=MASTER!$N$2,MASTER!F194="X"),"",IF(AND(MASTER!$E$1=MASTER!$N$2,MASTER!E194="X"),"",IF(AND($Q$2&lt;&gt;D194,$Q$2&lt;&gt;E194,$Q$2&lt;&gt;F194,I194="6 to 2",J194=FALSE,K194=FALSE),B194,"")))))))), "")</f>
        <v/>
      </c>
      <c r="M194" s="34" t="str">
        <f ca="1">IFERROR(IF(AND(MASTER!$K$1=MASTER!$N$2,MASTER!K194="X"),"",IF(AND(MASTER!$J$1=MASTER!$N$2,MASTER!J194="X"),"",IF(AND(MASTER!$I$1=MASTER!$N$2,MASTER!I194="X"),"",IF(AND(MASTER!$H$1=MASTER!$N$2,MASTER!H194="X"),"",IF(AND(MASTER!$G$1=MASTER!$N$2,MASTER!G194="X"),"",IF(AND(MASTER!$F$1=MASTER!$N$2,MASTER!F194="X"),"",IF(AND(MASTER!$E$1=MASTER!$N$2,MASTER!E194="X"),"",IF(AND($Q$2&lt;&gt;D194,$Q$2&lt;&gt;E194,$Q$2&lt;&gt;F194,I194="2 to 10",J194=FALSE,K194=FALSE),B194,"")))))))), "")</f>
        <v/>
      </c>
      <c r="N194" s="44" t="str">
        <f ca="1">IFERROR(IF(AND(MASTER!$K$1=MASTER!$N$2,MASTER!K194="X"),"",IF(AND(MASTER!$J$1=MASTER!$N$2,MASTER!J194="X"),"",IF(AND(MASTER!$I$1=MASTER!$N$2,MASTER!I194="X"),"",IF(AND(MASTER!$H$1=MASTER!$N$2,MASTER!H194="X"),"",IF(AND(MASTER!$G$1=MASTER!$N$2,MASTER!G194="X"),"",IF(AND(MASTER!$F$1=MASTER!$N$2,MASTER!F194="X"),"",IF(AND(MASTER!$E$1=MASTER!$N$2,MASTER!E194="X"),"",IF(AND($Q$2&lt;&gt;D194,$Q$2&lt;&gt;E194,$Q$2&lt;&gt;F194,I194="10 to 6",J194=FALSE,K194=FALSE),B194,"")))))))), "")</f>
        <v/>
      </c>
    </row>
    <row r="195" spans="3:14" x14ac:dyDescent="0.2">
      <c r="C195"/>
      <c r="G195"/>
      <c r="J195"/>
      <c r="L195" s="30" t="str">
        <f ca="1">IFERROR(IF(AND(MASTER!$K$1=MASTER!$N$2,MASTER!K195="X"),"",IF(AND(MASTER!$J$1=MASTER!$N$2,MASTER!J195="X"),"",IF(AND(MASTER!$I$1=MASTER!$N$2,MASTER!I195="X"),"",IF(AND(MASTER!$H$1=MASTER!$N$2,MASTER!H195="X"),"",IF(AND(MASTER!$G$1=MASTER!$N$2,MASTER!G195="X"),"",IF(AND(MASTER!$F$1=MASTER!$N$2,MASTER!F195="X"),"",IF(AND(MASTER!$E$1=MASTER!$N$2,MASTER!E195="X"),"",IF(AND($Q$2&lt;&gt;D195,$Q$2&lt;&gt;E195,$Q$2&lt;&gt;F195,I195="6 to 2",J195=FALSE,K195=FALSE),B195,"")))))))), "")</f>
        <v/>
      </c>
      <c r="M195" s="34" t="str">
        <f ca="1">IFERROR(IF(AND(MASTER!$K$1=MASTER!$N$2,MASTER!K195="X"),"",IF(AND(MASTER!$J$1=MASTER!$N$2,MASTER!J195="X"),"",IF(AND(MASTER!$I$1=MASTER!$N$2,MASTER!I195="X"),"",IF(AND(MASTER!$H$1=MASTER!$N$2,MASTER!H195="X"),"",IF(AND(MASTER!$G$1=MASTER!$N$2,MASTER!G195="X"),"",IF(AND(MASTER!$F$1=MASTER!$N$2,MASTER!F195="X"),"",IF(AND(MASTER!$E$1=MASTER!$N$2,MASTER!E195="X"),"",IF(AND($Q$2&lt;&gt;D195,$Q$2&lt;&gt;E195,$Q$2&lt;&gt;F195,I195="2 to 10",J195=FALSE,K195=FALSE),B195,"")))))))), "")</f>
        <v/>
      </c>
      <c r="N195" s="44" t="str">
        <f ca="1">IFERROR(IF(AND(MASTER!$K$1=MASTER!$N$2,MASTER!K195="X"),"",IF(AND(MASTER!$J$1=MASTER!$N$2,MASTER!J195="X"),"",IF(AND(MASTER!$I$1=MASTER!$N$2,MASTER!I195="X"),"",IF(AND(MASTER!$H$1=MASTER!$N$2,MASTER!H195="X"),"",IF(AND(MASTER!$G$1=MASTER!$N$2,MASTER!G195="X"),"",IF(AND(MASTER!$F$1=MASTER!$N$2,MASTER!F195="X"),"",IF(AND(MASTER!$E$1=MASTER!$N$2,MASTER!E195="X"),"",IF(AND($Q$2&lt;&gt;D195,$Q$2&lt;&gt;E195,$Q$2&lt;&gt;F195,I195="10 to 6",J195=FALSE,K195=FALSE),B195,"")))))))), "")</f>
        <v/>
      </c>
    </row>
    <row r="196" spans="3:14" x14ac:dyDescent="0.2">
      <c r="C196"/>
      <c r="G196"/>
      <c r="J196"/>
      <c r="L196" s="30" t="str">
        <f ca="1">IFERROR(IF(AND(MASTER!$K$1=MASTER!$N$2,MASTER!K196="X"),"",IF(AND(MASTER!$J$1=MASTER!$N$2,MASTER!J196="X"),"",IF(AND(MASTER!$I$1=MASTER!$N$2,MASTER!I196="X"),"",IF(AND(MASTER!$H$1=MASTER!$N$2,MASTER!H196="X"),"",IF(AND(MASTER!$G$1=MASTER!$N$2,MASTER!G196="X"),"",IF(AND(MASTER!$F$1=MASTER!$N$2,MASTER!F196="X"),"",IF(AND(MASTER!$E$1=MASTER!$N$2,MASTER!E196="X"),"",IF(AND($Q$2&lt;&gt;D196,$Q$2&lt;&gt;E196,$Q$2&lt;&gt;F196,I196="6 to 2",J196=FALSE,K196=FALSE),B196,"")))))))), "")</f>
        <v/>
      </c>
      <c r="M196" s="34" t="str">
        <f ca="1">IFERROR(IF(AND(MASTER!$K$1=MASTER!$N$2,MASTER!K196="X"),"",IF(AND(MASTER!$J$1=MASTER!$N$2,MASTER!J196="X"),"",IF(AND(MASTER!$I$1=MASTER!$N$2,MASTER!I196="X"),"",IF(AND(MASTER!$H$1=MASTER!$N$2,MASTER!H196="X"),"",IF(AND(MASTER!$G$1=MASTER!$N$2,MASTER!G196="X"),"",IF(AND(MASTER!$F$1=MASTER!$N$2,MASTER!F196="X"),"",IF(AND(MASTER!$E$1=MASTER!$N$2,MASTER!E196="X"),"",IF(AND($Q$2&lt;&gt;D196,$Q$2&lt;&gt;E196,$Q$2&lt;&gt;F196,I196="2 to 10",J196=FALSE,K196=FALSE),B196,"")))))))), "")</f>
        <v/>
      </c>
      <c r="N196" s="44" t="str">
        <f ca="1">IFERROR(IF(AND(MASTER!$K$1=MASTER!$N$2,MASTER!K196="X"),"",IF(AND(MASTER!$J$1=MASTER!$N$2,MASTER!J196="X"),"",IF(AND(MASTER!$I$1=MASTER!$N$2,MASTER!I196="X"),"",IF(AND(MASTER!$H$1=MASTER!$N$2,MASTER!H196="X"),"",IF(AND(MASTER!$G$1=MASTER!$N$2,MASTER!G196="X"),"",IF(AND(MASTER!$F$1=MASTER!$N$2,MASTER!F196="X"),"",IF(AND(MASTER!$E$1=MASTER!$N$2,MASTER!E196="X"),"",IF(AND($Q$2&lt;&gt;D196,$Q$2&lt;&gt;E196,$Q$2&lt;&gt;F196,I196="10 to 6",J196=FALSE,K196=FALSE),B196,"")))))))), "")</f>
        <v/>
      </c>
    </row>
    <row r="197" spans="3:14" x14ac:dyDescent="0.2">
      <c r="C197"/>
      <c r="G197"/>
      <c r="J197"/>
      <c r="L197" s="30" t="str">
        <f ca="1">IFERROR(IF(AND(MASTER!$K$1=MASTER!$N$2,MASTER!K197="X"),"",IF(AND(MASTER!$J$1=MASTER!$N$2,MASTER!J197="X"),"",IF(AND(MASTER!$I$1=MASTER!$N$2,MASTER!I197="X"),"",IF(AND(MASTER!$H$1=MASTER!$N$2,MASTER!H197="X"),"",IF(AND(MASTER!$G$1=MASTER!$N$2,MASTER!G197="X"),"",IF(AND(MASTER!$F$1=MASTER!$N$2,MASTER!F197="X"),"",IF(AND(MASTER!$E$1=MASTER!$N$2,MASTER!E197="X"),"",IF(AND($Q$2&lt;&gt;D197,$Q$2&lt;&gt;E197,$Q$2&lt;&gt;F197,I197="6 to 2",J197=FALSE,K197=FALSE),B197,"")))))))), "")</f>
        <v/>
      </c>
      <c r="M197" s="34" t="str">
        <f ca="1">IFERROR(IF(AND(MASTER!$K$1=MASTER!$N$2,MASTER!K197="X"),"",IF(AND(MASTER!$J$1=MASTER!$N$2,MASTER!J197="X"),"",IF(AND(MASTER!$I$1=MASTER!$N$2,MASTER!I197="X"),"",IF(AND(MASTER!$H$1=MASTER!$N$2,MASTER!H197="X"),"",IF(AND(MASTER!$G$1=MASTER!$N$2,MASTER!G197="X"),"",IF(AND(MASTER!$F$1=MASTER!$N$2,MASTER!F197="X"),"",IF(AND(MASTER!$E$1=MASTER!$N$2,MASTER!E197="X"),"",IF(AND($Q$2&lt;&gt;D197,$Q$2&lt;&gt;E197,$Q$2&lt;&gt;F197,I197="2 to 10",J197=FALSE,K197=FALSE),B197,"")))))))), "")</f>
        <v/>
      </c>
      <c r="N197" s="44" t="str">
        <f ca="1">IFERROR(IF(AND(MASTER!$K$1=MASTER!$N$2,MASTER!K197="X"),"",IF(AND(MASTER!$J$1=MASTER!$N$2,MASTER!J197="X"),"",IF(AND(MASTER!$I$1=MASTER!$N$2,MASTER!I197="X"),"",IF(AND(MASTER!$H$1=MASTER!$N$2,MASTER!H197="X"),"",IF(AND(MASTER!$G$1=MASTER!$N$2,MASTER!G197="X"),"",IF(AND(MASTER!$F$1=MASTER!$N$2,MASTER!F197="X"),"",IF(AND(MASTER!$E$1=MASTER!$N$2,MASTER!E197="X"),"",IF(AND($Q$2&lt;&gt;D197,$Q$2&lt;&gt;E197,$Q$2&lt;&gt;F197,I197="10 to 6",J197=FALSE,K197=FALSE),B197,"")))))))), "")</f>
        <v/>
      </c>
    </row>
    <row r="198" spans="3:14" x14ac:dyDescent="0.2">
      <c r="C198"/>
      <c r="G198"/>
      <c r="J198"/>
      <c r="L198" s="30" t="str">
        <f ca="1">IFERROR(IF(AND(MASTER!$K$1=MASTER!$N$2,MASTER!K198="X"),"",IF(AND(MASTER!$J$1=MASTER!$N$2,MASTER!J198="X"),"",IF(AND(MASTER!$I$1=MASTER!$N$2,MASTER!I198="X"),"",IF(AND(MASTER!$H$1=MASTER!$N$2,MASTER!H198="X"),"",IF(AND(MASTER!$G$1=MASTER!$N$2,MASTER!G198="X"),"",IF(AND(MASTER!$F$1=MASTER!$N$2,MASTER!F198="X"),"",IF(AND(MASTER!$E$1=MASTER!$N$2,MASTER!E198="X"),"",IF(AND($Q$2&lt;&gt;D198,$Q$2&lt;&gt;E198,$Q$2&lt;&gt;F198,I198="6 to 2",J198=FALSE,K198=FALSE),B198,"")))))))), "")</f>
        <v/>
      </c>
      <c r="M198" s="34" t="str">
        <f ca="1">IFERROR(IF(AND(MASTER!$K$1=MASTER!$N$2,MASTER!K198="X"),"",IF(AND(MASTER!$J$1=MASTER!$N$2,MASTER!J198="X"),"",IF(AND(MASTER!$I$1=MASTER!$N$2,MASTER!I198="X"),"",IF(AND(MASTER!$H$1=MASTER!$N$2,MASTER!H198="X"),"",IF(AND(MASTER!$G$1=MASTER!$N$2,MASTER!G198="X"),"",IF(AND(MASTER!$F$1=MASTER!$N$2,MASTER!F198="X"),"",IF(AND(MASTER!$E$1=MASTER!$N$2,MASTER!E198="X"),"",IF(AND($Q$2&lt;&gt;D198,$Q$2&lt;&gt;E198,$Q$2&lt;&gt;F198,I198="2 to 10",J198=FALSE,K198=FALSE),B198,"")))))))), "")</f>
        <v/>
      </c>
      <c r="N198" s="44" t="str">
        <f ca="1">IFERROR(IF(AND(MASTER!$K$1=MASTER!$N$2,MASTER!K198="X"),"",IF(AND(MASTER!$J$1=MASTER!$N$2,MASTER!J198="X"),"",IF(AND(MASTER!$I$1=MASTER!$N$2,MASTER!I198="X"),"",IF(AND(MASTER!$H$1=MASTER!$N$2,MASTER!H198="X"),"",IF(AND(MASTER!$G$1=MASTER!$N$2,MASTER!G198="X"),"",IF(AND(MASTER!$F$1=MASTER!$N$2,MASTER!F198="X"),"",IF(AND(MASTER!$E$1=MASTER!$N$2,MASTER!E198="X"),"",IF(AND($Q$2&lt;&gt;D198,$Q$2&lt;&gt;E198,$Q$2&lt;&gt;F198,I198="10 to 6",J198=FALSE,K198=FALSE),B198,"")))))))), "")</f>
        <v/>
      </c>
    </row>
    <row r="199" spans="3:14" x14ac:dyDescent="0.2">
      <c r="C199"/>
      <c r="G199"/>
      <c r="J199"/>
      <c r="L199" s="30" t="str">
        <f ca="1">IFERROR(IF(AND(MASTER!$K$1=MASTER!$N$2,MASTER!K199="X"),"",IF(AND(MASTER!$J$1=MASTER!$N$2,MASTER!J199="X"),"",IF(AND(MASTER!$I$1=MASTER!$N$2,MASTER!I199="X"),"",IF(AND(MASTER!$H$1=MASTER!$N$2,MASTER!H199="X"),"",IF(AND(MASTER!$G$1=MASTER!$N$2,MASTER!G199="X"),"",IF(AND(MASTER!$F$1=MASTER!$N$2,MASTER!F199="X"),"",IF(AND(MASTER!$E$1=MASTER!$N$2,MASTER!E199="X"),"",IF(AND($Q$2&lt;&gt;D199,$Q$2&lt;&gt;E199,$Q$2&lt;&gt;F199,I199="6 to 2",J199=FALSE,K199=FALSE),B199,"")))))))), "")</f>
        <v/>
      </c>
      <c r="M199" s="34" t="str">
        <f ca="1">IFERROR(IF(AND(MASTER!$K$1=MASTER!$N$2,MASTER!K199="X"),"",IF(AND(MASTER!$J$1=MASTER!$N$2,MASTER!J199="X"),"",IF(AND(MASTER!$I$1=MASTER!$N$2,MASTER!I199="X"),"",IF(AND(MASTER!$H$1=MASTER!$N$2,MASTER!H199="X"),"",IF(AND(MASTER!$G$1=MASTER!$N$2,MASTER!G199="X"),"",IF(AND(MASTER!$F$1=MASTER!$N$2,MASTER!F199="X"),"",IF(AND(MASTER!$E$1=MASTER!$N$2,MASTER!E199="X"),"",IF(AND($Q$2&lt;&gt;D199,$Q$2&lt;&gt;E199,$Q$2&lt;&gt;F199,I199="2 to 10",J199=FALSE,K199=FALSE),B199,"")))))))), "")</f>
        <v/>
      </c>
      <c r="N199" s="44" t="str">
        <f ca="1">IFERROR(IF(AND(MASTER!$K$1=MASTER!$N$2,MASTER!K199="X"),"",IF(AND(MASTER!$J$1=MASTER!$N$2,MASTER!J199="X"),"",IF(AND(MASTER!$I$1=MASTER!$N$2,MASTER!I199="X"),"",IF(AND(MASTER!$H$1=MASTER!$N$2,MASTER!H199="X"),"",IF(AND(MASTER!$G$1=MASTER!$N$2,MASTER!G199="X"),"",IF(AND(MASTER!$F$1=MASTER!$N$2,MASTER!F199="X"),"",IF(AND(MASTER!$E$1=MASTER!$N$2,MASTER!E199="X"),"",IF(AND($Q$2&lt;&gt;D199,$Q$2&lt;&gt;E199,$Q$2&lt;&gt;F199,I199="10 to 6",J199=FALSE,K199=FALSE),B199,"")))))))), "")</f>
        <v/>
      </c>
    </row>
    <row r="200" spans="3:14" ht="16" thickBot="1" x14ac:dyDescent="0.25">
      <c r="C200"/>
      <c r="G200"/>
      <c r="J200"/>
      <c r="L200" s="42" t="str">
        <f ca="1">IFERROR(IF(AND(MASTER!$K$1=MASTER!$N$2,MASTER!K200="X"),"",IF(AND(MASTER!$J$1=MASTER!$N$2,MASTER!J200="X"),"",IF(AND(MASTER!$I$1=MASTER!$N$2,MASTER!I200="X"),"",IF(AND(MASTER!$H$1=MASTER!$N$2,MASTER!H200="X"),"",IF(AND(MASTER!$G$1=MASTER!$N$2,MASTER!G200="X"),"",IF(AND(MASTER!$F$1=MASTER!$N$2,MASTER!F200="X"),"",IF(AND(MASTER!$E$1=MASTER!$N$2,MASTER!E200="X"),"",IF(AND($Q$2&lt;&gt;D200,$Q$2&lt;&gt;E200,$Q$2&lt;&gt;F200,I200="6 to 2",J200=FALSE,K200=FALSE),B200,"")))))))), "")</f>
        <v/>
      </c>
      <c r="M200" s="43" t="str">
        <f ca="1">IFERROR(IF(AND(MASTER!$K$1=MASTER!$N$2,MASTER!K200="X"),"",IF(AND(MASTER!$J$1=MASTER!$N$2,MASTER!J200="X"),"",IF(AND(MASTER!$I$1=MASTER!$N$2,MASTER!I200="X"),"",IF(AND(MASTER!$H$1=MASTER!$N$2,MASTER!H200="X"),"",IF(AND(MASTER!$G$1=MASTER!$N$2,MASTER!G200="X"),"",IF(AND(MASTER!$F$1=MASTER!$N$2,MASTER!F200="X"),"",IF(AND(MASTER!$E$1=MASTER!$N$2,MASTER!E200="X"),"",IF(AND($Q$2&lt;&gt;D200,$Q$2&lt;&gt;E200,$Q$2&lt;&gt;F200,I200="2 to 10",J200=FALSE,K200=FALSE),B200,"")))))))), "")</f>
        <v/>
      </c>
      <c r="N200" s="45" t="str">
        <f ca="1">IFERROR(IF(AND(MASTER!$K$1=MASTER!$N$2,MASTER!K200="X"),"",IF(AND(MASTER!$J$1=MASTER!$N$2,MASTER!J200="X"),"",IF(AND(MASTER!$I$1=MASTER!$N$2,MASTER!I200="X"),"",IF(AND(MASTER!$H$1=MASTER!$N$2,MASTER!H200="X"),"",IF(AND(MASTER!$G$1=MASTER!$N$2,MASTER!G200="X"),"",IF(AND(MASTER!$F$1=MASTER!$N$2,MASTER!F200="X"),"",IF(AND(MASTER!$E$1=MASTER!$N$2,MASTER!E200="X"),"",IF(AND($Q$2&lt;&gt;D200,$Q$2&lt;&gt;E200,$Q$2&lt;&gt;F200,I200="10 to 6",J200=FALSE,K200=FALSE),B200,"")))))))), "")</f>
        <v/>
      </c>
    </row>
    <row r="201" spans="3:14" x14ac:dyDescent="0.2">
      <c r="C201"/>
      <c r="G201"/>
      <c r="J201"/>
      <c r="N201"/>
    </row>
    <row r="202" spans="3:14" x14ac:dyDescent="0.2">
      <c r="C202"/>
      <c r="G202"/>
      <c r="J202"/>
      <c r="N202"/>
    </row>
    <row r="203" spans="3:14" x14ac:dyDescent="0.2">
      <c r="C203"/>
      <c r="G203"/>
      <c r="J203"/>
      <c r="N203"/>
    </row>
    <row r="204" spans="3:14" x14ac:dyDescent="0.2">
      <c r="C204"/>
      <c r="G204"/>
      <c r="J204"/>
      <c r="N204"/>
    </row>
    <row r="205" spans="3:14" ht="16" thickBot="1" x14ac:dyDescent="0.25">
      <c r="C205"/>
      <c r="G205"/>
      <c r="J205"/>
      <c r="N205"/>
    </row>
    <row r="206" spans="3:14" ht="16" thickBot="1" x14ac:dyDescent="0.25">
      <c r="C206"/>
      <c r="E206" s="36"/>
      <c r="J206"/>
      <c r="N206"/>
    </row>
    <row r="207" spans="3:14" x14ac:dyDescent="0.2">
      <c r="C207"/>
      <c r="J207"/>
      <c r="N207"/>
    </row>
    <row r="208" spans="3:14" x14ac:dyDescent="0.2">
      <c r="C208"/>
      <c r="J208"/>
      <c r="N208"/>
    </row>
    <row r="209" spans="3:14" x14ac:dyDescent="0.2">
      <c r="C209"/>
      <c r="J209"/>
      <c r="N209"/>
    </row>
    <row r="210" spans="3:14" x14ac:dyDescent="0.2">
      <c r="C210"/>
      <c r="J210"/>
      <c r="N210"/>
    </row>
    <row r="211" spans="3:14" x14ac:dyDescent="0.2">
      <c r="C211"/>
      <c r="J211"/>
      <c r="N211"/>
    </row>
    <row r="212" spans="3:14" x14ac:dyDescent="0.2">
      <c r="C212"/>
      <c r="J212"/>
      <c r="N212"/>
    </row>
    <row r="213" spans="3:14" x14ac:dyDescent="0.2">
      <c r="C213"/>
      <c r="J213"/>
      <c r="N213"/>
    </row>
    <row r="214" spans="3:14" x14ac:dyDescent="0.2">
      <c r="C214"/>
      <c r="J214"/>
      <c r="N214"/>
    </row>
    <row r="215" spans="3:14" x14ac:dyDescent="0.2">
      <c r="C215"/>
      <c r="J215"/>
      <c r="N215"/>
    </row>
    <row r="216" spans="3:14" x14ac:dyDescent="0.2">
      <c r="C216"/>
      <c r="J216"/>
      <c r="N216"/>
    </row>
    <row r="217" spans="3:14" x14ac:dyDescent="0.2">
      <c r="C217"/>
      <c r="J217"/>
      <c r="N217"/>
    </row>
    <row r="218" spans="3:14" x14ac:dyDescent="0.2">
      <c r="C218"/>
      <c r="J218"/>
      <c r="N218"/>
    </row>
    <row r="219" spans="3:14" x14ac:dyDescent="0.2">
      <c r="C219"/>
      <c r="J219"/>
      <c r="N219"/>
    </row>
    <row r="220" spans="3:14" x14ac:dyDescent="0.2">
      <c r="C220"/>
      <c r="J220"/>
      <c r="N220"/>
    </row>
    <row r="221" spans="3:14" x14ac:dyDescent="0.2">
      <c r="C221"/>
      <c r="J221"/>
      <c r="N221"/>
    </row>
    <row r="222" spans="3:14" x14ac:dyDescent="0.2">
      <c r="C222"/>
      <c r="J222"/>
      <c r="N222"/>
    </row>
    <row r="223" spans="3:14" x14ac:dyDescent="0.2">
      <c r="C223"/>
      <c r="J223"/>
      <c r="N223"/>
    </row>
    <row r="224" spans="3:14" x14ac:dyDescent="0.2">
      <c r="C224"/>
      <c r="J224"/>
      <c r="N224"/>
    </row>
    <row r="225" spans="3:14" x14ac:dyDescent="0.2">
      <c r="C225"/>
      <c r="J225"/>
      <c r="N225"/>
    </row>
    <row r="226" spans="3:14" x14ac:dyDescent="0.2">
      <c r="C226"/>
      <c r="J226"/>
      <c r="N226"/>
    </row>
    <row r="227" spans="3:14" x14ac:dyDescent="0.2">
      <c r="C227"/>
      <c r="J227"/>
      <c r="N227"/>
    </row>
    <row r="228" spans="3:14" x14ac:dyDescent="0.2">
      <c r="C228"/>
      <c r="J228"/>
      <c r="N228"/>
    </row>
    <row r="229" spans="3:14" x14ac:dyDescent="0.2">
      <c r="C229"/>
      <c r="J229"/>
      <c r="N229"/>
    </row>
    <row r="230" spans="3:14" x14ac:dyDescent="0.2">
      <c r="C230"/>
      <c r="J230"/>
      <c r="N230"/>
    </row>
    <row r="231" spans="3:14" x14ac:dyDescent="0.2">
      <c r="C231"/>
      <c r="J231"/>
      <c r="N231"/>
    </row>
    <row r="232" spans="3:14" x14ac:dyDescent="0.2">
      <c r="C232"/>
      <c r="J232"/>
      <c r="N232"/>
    </row>
    <row r="233" spans="3:14" x14ac:dyDescent="0.2">
      <c r="C233"/>
      <c r="J233"/>
      <c r="N233"/>
    </row>
    <row r="234" spans="3:14" x14ac:dyDescent="0.2">
      <c r="C234"/>
      <c r="J234"/>
      <c r="N234"/>
    </row>
    <row r="235" spans="3:14" x14ac:dyDescent="0.2">
      <c r="C235"/>
      <c r="J235"/>
      <c r="N235"/>
    </row>
    <row r="236" spans="3:14" x14ac:dyDescent="0.2">
      <c r="C236"/>
      <c r="J236"/>
      <c r="N236"/>
    </row>
    <row r="237" spans="3:14" x14ac:dyDescent="0.2">
      <c r="C237"/>
      <c r="J237"/>
      <c r="N237"/>
    </row>
    <row r="238" spans="3:14" x14ac:dyDescent="0.2">
      <c r="C238"/>
      <c r="J238"/>
      <c r="N238"/>
    </row>
    <row r="239" spans="3:14" x14ac:dyDescent="0.2">
      <c r="C239"/>
      <c r="J239"/>
      <c r="N239"/>
    </row>
    <row r="240" spans="3:14" x14ac:dyDescent="0.2">
      <c r="C240"/>
      <c r="J240"/>
      <c r="N240"/>
    </row>
    <row r="241" spans="3:14" x14ac:dyDescent="0.2">
      <c r="C241"/>
      <c r="J241"/>
      <c r="N241"/>
    </row>
    <row r="242" spans="3:14" x14ac:dyDescent="0.2">
      <c r="C242"/>
      <c r="J242"/>
      <c r="N242"/>
    </row>
    <row r="243" spans="3:14" x14ac:dyDescent="0.2">
      <c r="C243"/>
      <c r="J243"/>
      <c r="N243"/>
    </row>
    <row r="244" spans="3:14" x14ac:dyDescent="0.2">
      <c r="C244"/>
      <c r="J244"/>
      <c r="N244"/>
    </row>
    <row r="245" spans="3:14" x14ac:dyDescent="0.2">
      <c r="C245"/>
      <c r="J245"/>
      <c r="N245"/>
    </row>
    <row r="246" spans="3:14" x14ac:dyDescent="0.2">
      <c r="C246"/>
      <c r="J246"/>
      <c r="N246"/>
    </row>
    <row r="247" spans="3:14" x14ac:dyDescent="0.2">
      <c r="C247"/>
      <c r="J247"/>
      <c r="N247"/>
    </row>
    <row r="248" spans="3:14" x14ac:dyDescent="0.2">
      <c r="C248"/>
      <c r="J248"/>
      <c r="N248"/>
    </row>
    <row r="249" spans="3:14" x14ac:dyDescent="0.2">
      <c r="C249"/>
      <c r="J249"/>
      <c r="N249"/>
    </row>
    <row r="250" spans="3:14" x14ac:dyDescent="0.2">
      <c r="C250"/>
      <c r="J250"/>
      <c r="N250"/>
    </row>
    <row r="251" spans="3:14" x14ac:dyDescent="0.2">
      <c r="C251"/>
      <c r="J251"/>
      <c r="N251"/>
    </row>
    <row r="252" spans="3:14" x14ac:dyDescent="0.2">
      <c r="C252"/>
      <c r="J252"/>
      <c r="N252"/>
    </row>
    <row r="253" spans="3:14" x14ac:dyDescent="0.2">
      <c r="C253"/>
      <c r="J253"/>
      <c r="N253"/>
    </row>
    <row r="254" spans="3:14" x14ac:dyDescent="0.2">
      <c r="C254"/>
      <c r="J254"/>
      <c r="N254"/>
    </row>
    <row r="255" spans="3:14" x14ac:dyDescent="0.2">
      <c r="C255"/>
      <c r="J255"/>
      <c r="N255"/>
    </row>
    <row r="256" spans="3:14" x14ac:dyDescent="0.2">
      <c r="C256"/>
      <c r="J256"/>
      <c r="N256"/>
    </row>
    <row r="257" spans="3:37" x14ac:dyDescent="0.2">
      <c r="C257"/>
      <c r="J257"/>
      <c r="N257"/>
    </row>
    <row r="258" spans="3:37" x14ac:dyDescent="0.2">
      <c r="C258"/>
      <c r="J258"/>
      <c r="N258"/>
    </row>
    <row r="259" spans="3:37" x14ac:dyDescent="0.2">
      <c r="C259"/>
      <c r="J259"/>
      <c r="N259"/>
    </row>
    <row r="260" spans="3:37" x14ac:dyDescent="0.2">
      <c r="C260"/>
      <c r="J260"/>
      <c r="N260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</row>
    <row r="261" spans="3:37" x14ac:dyDescent="0.2">
      <c r="C261"/>
      <c r="J261"/>
      <c r="N261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</row>
    <row r="262" spans="3:37" x14ac:dyDescent="0.2">
      <c r="C262"/>
      <c r="J262"/>
      <c r="N262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</row>
    <row r="263" spans="3:37" x14ac:dyDescent="0.2">
      <c r="C263"/>
      <c r="J263"/>
      <c r="N263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</row>
    <row r="264" spans="3:37" x14ac:dyDescent="0.2">
      <c r="C264"/>
      <c r="J264"/>
      <c r="N264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</row>
    <row r="265" spans="3:37" x14ac:dyDescent="0.2">
      <c r="C265"/>
      <c r="J265"/>
      <c r="N265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</row>
    <row r="266" spans="3:37" x14ac:dyDescent="0.2">
      <c r="C266"/>
      <c r="J266"/>
      <c r="N26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  <c r="AG266" s="46"/>
      <c r="AH266" s="46"/>
      <c r="AI266" s="46"/>
      <c r="AJ266" s="46"/>
      <c r="AK266" s="46"/>
    </row>
    <row r="267" spans="3:37" x14ac:dyDescent="0.2">
      <c r="C267"/>
      <c r="J267"/>
      <c r="N267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</row>
    <row r="268" spans="3:37" x14ac:dyDescent="0.2">
      <c r="C268"/>
      <c r="J268"/>
      <c r="N268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/>
      <c r="AI268" s="46"/>
      <c r="AJ268" s="46"/>
      <c r="AK268" s="46"/>
    </row>
    <row r="269" spans="3:37" x14ac:dyDescent="0.2">
      <c r="C269"/>
      <c r="J269"/>
      <c r="N269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</row>
    <row r="270" spans="3:37" x14ac:dyDescent="0.2">
      <c r="C270"/>
      <c r="J270"/>
      <c r="N270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  <c r="AG270" s="46"/>
      <c r="AH270" s="46"/>
      <c r="AI270" s="46"/>
      <c r="AJ270" s="46"/>
      <c r="AK270" s="46"/>
    </row>
    <row r="271" spans="3:37" x14ac:dyDescent="0.2">
      <c r="C271"/>
      <c r="J271"/>
      <c r="N271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</row>
    <row r="272" spans="3:37" x14ac:dyDescent="0.2">
      <c r="C272"/>
      <c r="J272"/>
      <c r="N272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  <c r="AG272" s="46"/>
      <c r="AH272" s="46"/>
      <c r="AI272" s="46"/>
      <c r="AJ272" s="46"/>
      <c r="AK272" s="46"/>
    </row>
    <row r="273" spans="3:37" x14ac:dyDescent="0.2">
      <c r="C273"/>
      <c r="J273"/>
      <c r="N273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</row>
    <row r="274" spans="3:37" x14ac:dyDescent="0.2">
      <c r="C274"/>
      <c r="J274"/>
      <c r="N274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  <c r="AG274" s="46"/>
      <c r="AH274" s="46"/>
      <c r="AI274" s="46"/>
      <c r="AJ274" s="46"/>
      <c r="AK274" s="46"/>
    </row>
    <row r="275" spans="3:37" x14ac:dyDescent="0.2">
      <c r="C275"/>
      <c r="J275"/>
      <c r="N275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  <c r="AG275" s="46"/>
      <c r="AH275" s="46"/>
      <c r="AI275" s="46"/>
      <c r="AJ275" s="46"/>
      <c r="AK275" s="46"/>
    </row>
    <row r="276" spans="3:37" x14ac:dyDescent="0.2">
      <c r="C276"/>
      <c r="J276"/>
      <c r="N27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  <c r="AG276" s="46"/>
      <c r="AH276" s="46"/>
      <c r="AI276" s="46"/>
      <c r="AJ276" s="46"/>
      <c r="AK276" s="46"/>
    </row>
    <row r="277" spans="3:37" x14ac:dyDescent="0.2">
      <c r="C277"/>
      <c r="J277"/>
      <c r="N277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</row>
    <row r="278" spans="3:37" x14ac:dyDescent="0.2">
      <c r="C278"/>
      <c r="J278"/>
      <c r="N278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</row>
    <row r="279" spans="3:37" x14ac:dyDescent="0.2">
      <c r="C279"/>
      <c r="J279"/>
      <c r="N279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</row>
    <row r="280" spans="3:37" x14ac:dyDescent="0.2">
      <c r="C280"/>
      <c r="J280"/>
      <c r="N280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  <c r="AG280" s="46"/>
      <c r="AH280" s="46"/>
      <c r="AI280" s="46"/>
      <c r="AJ280" s="46"/>
      <c r="AK280" s="46"/>
    </row>
    <row r="281" spans="3:37" x14ac:dyDescent="0.2">
      <c r="C281"/>
      <c r="J281"/>
      <c r="N281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</row>
    <row r="282" spans="3:37" x14ac:dyDescent="0.2">
      <c r="C282"/>
      <c r="J282"/>
      <c r="N282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  <c r="AG282" s="46"/>
      <c r="AH282" s="46"/>
      <c r="AI282" s="46"/>
      <c r="AJ282" s="46"/>
      <c r="AK282" s="46"/>
    </row>
    <row r="283" spans="3:37" x14ac:dyDescent="0.2">
      <c r="C283"/>
      <c r="J283"/>
      <c r="N283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</row>
    <row r="284" spans="3:37" x14ac:dyDescent="0.2">
      <c r="C284"/>
      <c r="J284"/>
      <c r="N284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  <c r="AG284" s="46"/>
      <c r="AH284" s="46"/>
      <c r="AI284" s="46"/>
      <c r="AJ284" s="46"/>
      <c r="AK284" s="46"/>
    </row>
    <row r="285" spans="3:37" x14ac:dyDescent="0.2">
      <c r="C285"/>
      <c r="J285"/>
      <c r="N285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</row>
    <row r="286" spans="3:37" x14ac:dyDescent="0.2">
      <c r="C286"/>
      <c r="J286"/>
      <c r="N28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  <c r="AG286" s="46"/>
      <c r="AH286" s="46"/>
      <c r="AI286" s="46"/>
      <c r="AJ286" s="46"/>
      <c r="AK286" s="46"/>
    </row>
    <row r="287" spans="3:37" x14ac:dyDescent="0.2">
      <c r="C287"/>
      <c r="J287"/>
      <c r="N287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</row>
    <row r="288" spans="3:37" x14ac:dyDescent="0.2">
      <c r="C288"/>
      <c r="J288"/>
      <c r="N288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  <c r="AG288" s="46"/>
      <c r="AH288" s="46"/>
      <c r="AI288" s="46"/>
      <c r="AJ288" s="46"/>
      <c r="AK288" s="46"/>
    </row>
    <row r="289" spans="3:37" x14ac:dyDescent="0.2">
      <c r="C289"/>
      <c r="J289"/>
      <c r="N289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</row>
    <row r="290" spans="3:37" x14ac:dyDescent="0.2">
      <c r="C290"/>
      <c r="J290"/>
      <c r="N290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  <c r="AG290" s="46"/>
      <c r="AH290" s="46"/>
      <c r="AI290" s="46"/>
      <c r="AJ290" s="46"/>
      <c r="AK290" s="46"/>
    </row>
    <row r="291" spans="3:37" x14ac:dyDescent="0.2">
      <c r="C291"/>
      <c r="J291"/>
      <c r="N291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  <c r="AG291" s="46"/>
      <c r="AH291" s="46"/>
      <c r="AI291" s="46"/>
      <c r="AJ291" s="46"/>
      <c r="AK291" s="46"/>
    </row>
    <row r="292" spans="3:37" x14ac:dyDescent="0.2">
      <c r="C292"/>
      <c r="J292"/>
      <c r="N292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  <c r="AG292" s="46"/>
      <c r="AH292" s="46"/>
      <c r="AI292" s="46"/>
      <c r="AJ292" s="46"/>
      <c r="AK292" s="46"/>
    </row>
    <row r="293" spans="3:37" x14ac:dyDescent="0.2">
      <c r="C293"/>
      <c r="J293"/>
      <c r="N293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</row>
    <row r="294" spans="3:37" x14ac:dyDescent="0.2">
      <c r="C294"/>
      <c r="J294"/>
      <c r="N294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</row>
    <row r="295" spans="3:37" x14ac:dyDescent="0.2">
      <c r="C295"/>
      <c r="J295"/>
      <c r="N295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</row>
    <row r="296" spans="3:37" x14ac:dyDescent="0.2">
      <c r="C296"/>
      <c r="J296"/>
      <c r="N29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  <c r="AG296" s="46"/>
      <c r="AH296" s="46"/>
      <c r="AI296" s="46"/>
      <c r="AJ296" s="46"/>
      <c r="AK296" s="46"/>
    </row>
    <row r="297" spans="3:37" x14ac:dyDescent="0.2">
      <c r="C297"/>
      <c r="J297"/>
      <c r="N297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  <c r="AG297" s="46"/>
      <c r="AH297" s="46"/>
      <c r="AI297" s="46"/>
      <c r="AJ297" s="46"/>
      <c r="AK297" s="46"/>
    </row>
    <row r="298" spans="3:37" x14ac:dyDescent="0.2">
      <c r="C298"/>
      <c r="J298"/>
      <c r="N298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</row>
    <row r="299" spans="3:37" x14ac:dyDescent="0.2">
      <c r="C299"/>
      <c r="J299"/>
      <c r="N299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</row>
    <row r="300" spans="3:37" x14ac:dyDescent="0.2">
      <c r="C300"/>
      <c r="J300"/>
      <c r="N300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  <c r="AG300" s="46"/>
      <c r="AH300" s="46"/>
      <c r="AI300" s="46"/>
      <c r="AJ300" s="46"/>
      <c r="AK300" s="46"/>
    </row>
    <row r="301" spans="3:37" x14ac:dyDescent="0.2">
      <c r="C301"/>
      <c r="J301"/>
      <c r="N301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</row>
    <row r="302" spans="3:37" x14ac:dyDescent="0.2">
      <c r="C302"/>
      <c r="J302"/>
      <c r="N302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  <c r="AG302" s="46"/>
      <c r="AH302" s="46"/>
      <c r="AI302" s="46"/>
      <c r="AJ302" s="46"/>
      <c r="AK302" s="46"/>
    </row>
    <row r="303" spans="3:37" x14ac:dyDescent="0.2">
      <c r="C303"/>
      <c r="J303"/>
      <c r="N303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</row>
    <row r="304" spans="3:37" x14ac:dyDescent="0.2">
      <c r="C304"/>
      <c r="J304"/>
      <c r="N304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  <c r="AG304" s="46"/>
      <c r="AH304" s="46"/>
      <c r="AI304" s="46"/>
      <c r="AJ304" s="46"/>
      <c r="AK304" s="46"/>
    </row>
    <row r="305" spans="3:37" x14ac:dyDescent="0.2">
      <c r="C305"/>
      <c r="J305"/>
      <c r="N305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</row>
    <row r="306" spans="3:37" x14ac:dyDescent="0.2">
      <c r="C306"/>
      <c r="J306"/>
      <c r="N30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  <c r="AG306" s="46"/>
      <c r="AH306" s="46"/>
      <c r="AI306" s="46"/>
      <c r="AJ306" s="46"/>
      <c r="AK306" s="46"/>
    </row>
    <row r="307" spans="3:37" x14ac:dyDescent="0.2">
      <c r="C307"/>
      <c r="J307"/>
      <c r="N307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</row>
    <row r="308" spans="3:37" x14ac:dyDescent="0.2">
      <c r="C308"/>
      <c r="J308"/>
      <c r="N308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</row>
    <row r="309" spans="3:37" x14ac:dyDescent="0.2">
      <c r="C309"/>
      <c r="J309"/>
      <c r="N309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</row>
    <row r="310" spans="3:37" x14ac:dyDescent="0.2">
      <c r="C310"/>
      <c r="J310"/>
      <c r="N310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</row>
    <row r="311" spans="3:37" x14ac:dyDescent="0.2">
      <c r="C311"/>
      <c r="J311"/>
      <c r="N311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  <c r="AG311" s="46"/>
      <c r="AH311" s="46"/>
      <c r="AI311" s="46"/>
      <c r="AJ311" s="46"/>
      <c r="AK311" s="46"/>
    </row>
    <row r="312" spans="3:37" x14ac:dyDescent="0.2">
      <c r="C312"/>
      <c r="J312"/>
      <c r="N312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</row>
    <row r="313" spans="3:37" x14ac:dyDescent="0.2">
      <c r="C313"/>
      <c r="J313"/>
      <c r="N313"/>
    </row>
    <row r="314" spans="3:37" x14ac:dyDescent="0.2">
      <c r="C314"/>
      <c r="J314"/>
      <c r="N314"/>
    </row>
    <row r="315" spans="3:37" x14ac:dyDescent="0.2">
      <c r="C315"/>
      <c r="J315"/>
      <c r="N315"/>
    </row>
    <row r="316" spans="3:37" x14ac:dyDescent="0.2">
      <c r="C316"/>
      <c r="J316"/>
      <c r="N316"/>
    </row>
    <row r="317" spans="3:37" x14ac:dyDescent="0.2">
      <c r="C317"/>
      <c r="J317"/>
      <c r="N317"/>
    </row>
    <row r="318" spans="3:37" x14ac:dyDescent="0.2">
      <c r="C318"/>
      <c r="J318"/>
      <c r="N318"/>
    </row>
    <row r="319" spans="3:37" x14ac:dyDescent="0.2">
      <c r="C319"/>
      <c r="J319"/>
      <c r="N319"/>
    </row>
    <row r="320" spans="3:37" x14ac:dyDescent="0.2">
      <c r="C320"/>
      <c r="J320"/>
      <c r="N320"/>
    </row>
    <row r="321" spans="3:14" x14ac:dyDescent="0.2">
      <c r="C321"/>
      <c r="J321"/>
      <c r="N321"/>
    </row>
    <row r="322" spans="3:14" x14ac:dyDescent="0.2">
      <c r="C322"/>
      <c r="J322"/>
      <c r="N322"/>
    </row>
    <row r="323" spans="3:14" x14ac:dyDescent="0.2">
      <c r="C323"/>
      <c r="J323"/>
      <c r="N323"/>
    </row>
    <row r="324" spans="3:14" x14ac:dyDescent="0.2">
      <c r="C324"/>
      <c r="J324"/>
      <c r="N324"/>
    </row>
    <row r="325" spans="3:14" x14ac:dyDescent="0.2">
      <c r="C325"/>
      <c r="J325"/>
      <c r="N325"/>
    </row>
    <row r="326" spans="3:14" x14ac:dyDescent="0.2">
      <c r="C326"/>
      <c r="J326"/>
      <c r="N326"/>
    </row>
    <row r="327" spans="3:14" x14ac:dyDescent="0.2">
      <c r="C327"/>
      <c r="J327"/>
      <c r="N327"/>
    </row>
    <row r="328" spans="3:14" x14ac:dyDescent="0.2">
      <c r="C328"/>
      <c r="J328"/>
      <c r="N328"/>
    </row>
    <row r="329" spans="3:14" x14ac:dyDescent="0.2">
      <c r="C329"/>
      <c r="J329"/>
      <c r="N329"/>
    </row>
    <row r="330" spans="3:14" x14ac:dyDescent="0.2">
      <c r="C330"/>
      <c r="J330"/>
      <c r="N330"/>
    </row>
    <row r="331" spans="3:14" x14ac:dyDescent="0.2">
      <c r="C331"/>
      <c r="J331"/>
      <c r="N331"/>
    </row>
    <row r="332" spans="3:14" x14ac:dyDescent="0.2">
      <c r="C332"/>
      <c r="J332"/>
      <c r="N332"/>
    </row>
    <row r="333" spans="3:14" x14ac:dyDescent="0.2">
      <c r="C333"/>
      <c r="J333"/>
      <c r="N333"/>
    </row>
    <row r="334" spans="3:14" x14ac:dyDescent="0.2">
      <c r="C334"/>
      <c r="J334"/>
      <c r="N334"/>
    </row>
    <row r="335" spans="3:14" x14ac:dyDescent="0.2">
      <c r="C335"/>
      <c r="J335"/>
      <c r="N335"/>
    </row>
    <row r="336" spans="3:14" x14ac:dyDescent="0.2">
      <c r="C336"/>
      <c r="J336"/>
      <c r="N336"/>
    </row>
    <row r="337" spans="3:14" x14ac:dyDescent="0.2">
      <c r="C337"/>
      <c r="J337"/>
      <c r="N337"/>
    </row>
    <row r="338" spans="3:14" x14ac:dyDescent="0.2">
      <c r="C338"/>
      <c r="J338"/>
      <c r="N338"/>
    </row>
    <row r="339" spans="3:14" x14ac:dyDescent="0.2">
      <c r="C339"/>
      <c r="J339"/>
      <c r="N339"/>
    </row>
    <row r="340" spans="3:14" x14ac:dyDescent="0.2">
      <c r="C340"/>
      <c r="J340"/>
      <c r="N340"/>
    </row>
    <row r="341" spans="3:14" x14ac:dyDescent="0.2">
      <c r="C341"/>
      <c r="J341"/>
      <c r="N341"/>
    </row>
    <row r="342" spans="3:14" x14ac:dyDescent="0.2">
      <c r="C342"/>
      <c r="J342"/>
      <c r="N342"/>
    </row>
    <row r="343" spans="3:14" x14ac:dyDescent="0.2">
      <c r="C343"/>
      <c r="J343"/>
      <c r="N343"/>
    </row>
    <row r="344" spans="3:14" x14ac:dyDescent="0.2">
      <c r="C344"/>
      <c r="J344"/>
      <c r="N344"/>
    </row>
    <row r="345" spans="3:14" x14ac:dyDescent="0.2">
      <c r="C345"/>
      <c r="J345"/>
      <c r="N345"/>
    </row>
    <row r="346" spans="3:14" x14ac:dyDescent="0.2">
      <c r="C346"/>
      <c r="J346"/>
      <c r="N346"/>
    </row>
    <row r="347" spans="3:14" x14ac:dyDescent="0.2">
      <c r="C347"/>
      <c r="J347"/>
      <c r="N347"/>
    </row>
    <row r="348" spans="3:14" x14ac:dyDescent="0.2">
      <c r="C348"/>
      <c r="J348"/>
      <c r="N348"/>
    </row>
    <row r="349" spans="3:14" x14ac:dyDescent="0.2">
      <c r="C349"/>
      <c r="J349"/>
      <c r="N349"/>
    </row>
    <row r="350" spans="3:14" x14ac:dyDescent="0.2">
      <c r="C350"/>
      <c r="J350"/>
      <c r="N350"/>
    </row>
    <row r="351" spans="3:14" x14ac:dyDescent="0.2">
      <c r="C351"/>
      <c r="J351"/>
      <c r="N351"/>
    </row>
    <row r="352" spans="3:14" x14ac:dyDescent="0.2">
      <c r="C352"/>
      <c r="J352"/>
      <c r="N352"/>
    </row>
    <row r="353" spans="3:14" x14ac:dyDescent="0.2">
      <c r="C353"/>
      <c r="J353"/>
      <c r="N353"/>
    </row>
    <row r="354" spans="3:14" x14ac:dyDescent="0.2">
      <c r="C354"/>
      <c r="J354"/>
      <c r="N354"/>
    </row>
    <row r="355" spans="3:14" x14ac:dyDescent="0.2">
      <c r="C355"/>
      <c r="J355"/>
      <c r="N355"/>
    </row>
    <row r="356" spans="3:14" x14ac:dyDescent="0.2">
      <c r="C356"/>
      <c r="J356"/>
      <c r="N356"/>
    </row>
    <row r="357" spans="3:14" x14ac:dyDescent="0.2">
      <c r="C357"/>
      <c r="J357"/>
      <c r="N357"/>
    </row>
    <row r="358" spans="3:14" x14ac:dyDescent="0.2">
      <c r="C358"/>
      <c r="J358"/>
      <c r="N358"/>
    </row>
    <row r="359" spans="3:14" x14ac:dyDescent="0.2">
      <c r="C359"/>
      <c r="J359"/>
      <c r="N359"/>
    </row>
    <row r="360" spans="3:14" x14ac:dyDescent="0.2">
      <c r="C360"/>
      <c r="J360"/>
      <c r="N360"/>
    </row>
    <row r="361" spans="3:14" x14ac:dyDescent="0.2">
      <c r="C361"/>
      <c r="J361"/>
      <c r="N361"/>
    </row>
    <row r="362" spans="3:14" x14ac:dyDescent="0.2">
      <c r="C362"/>
      <c r="J362"/>
      <c r="N362"/>
    </row>
    <row r="363" spans="3:14" x14ac:dyDescent="0.2">
      <c r="C363"/>
      <c r="J363"/>
      <c r="N363"/>
    </row>
    <row r="364" spans="3:14" x14ac:dyDescent="0.2">
      <c r="C364"/>
      <c r="J364"/>
      <c r="N364"/>
    </row>
    <row r="365" spans="3:14" x14ac:dyDescent="0.2">
      <c r="C365"/>
      <c r="J365"/>
      <c r="N365"/>
    </row>
    <row r="366" spans="3:14" x14ac:dyDescent="0.2">
      <c r="C366"/>
      <c r="J366"/>
      <c r="N366"/>
    </row>
    <row r="367" spans="3:14" x14ac:dyDescent="0.2">
      <c r="C367"/>
      <c r="J367"/>
      <c r="N367"/>
    </row>
    <row r="368" spans="3:14" x14ac:dyDescent="0.2">
      <c r="C368"/>
      <c r="J368"/>
      <c r="N368"/>
    </row>
    <row r="369" spans="3:14" x14ac:dyDescent="0.2">
      <c r="C369"/>
      <c r="J369"/>
      <c r="N369"/>
    </row>
    <row r="370" spans="3:14" x14ac:dyDescent="0.2">
      <c r="C370"/>
      <c r="J370"/>
      <c r="N370"/>
    </row>
    <row r="371" spans="3:14" x14ac:dyDescent="0.2">
      <c r="C371"/>
      <c r="J371"/>
      <c r="N371"/>
    </row>
    <row r="372" spans="3:14" x14ac:dyDescent="0.2">
      <c r="C372"/>
      <c r="J372"/>
      <c r="N372"/>
    </row>
    <row r="373" spans="3:14" x14ac:dyDescent="0.2">
      <c r="C373"/>
      <c r="J373"/>
      <c r="N373"/>
    </row>
    <row r="374" spans="3:14" x14ac:dyDescent="0.2">
      <c r="C374"/>
      <c r="J374"/>
      <c r="N374"/>
    </row>
    <row r="375" spans="3:14" x14ac:dyDescent="0.2">
      <c r="C375"/>
      <c r="J375"/>
      <c r="N375"/>
    </row>
    <row r="376" spans="3:14" x14ac:dyDescent="0.2">
      <c r="C376"/>
      <c r="J376"/>
      <c r="N376"/>
    </row>
    <row r="377" spans="3:14" x14ac:dyDescent="0.2">
      <c r="C377"/>
      <c r="J377"/>
      <c r="N377"/>
    </row>
    <row r="378" spans="3:14" x14ac:dyDescent="0.2">
      <c r="C378"/>
      <c r="J378"/>
      <c r="N378"/>
    </row>
    <row r="379" spans="3:14" x14ac:dyDescent="0.2">
      <c r="C379"/>
      <c r="J379"/>
      <c r="N379"/>
    </row>
    <row r="380" spans="3:14" x14ac:dyDescent="0.2">
      <c r="C380"/>
      <c r="J380"/>
      <c r="N380"/>
    </row>
    <row r="381" spans="3:14" x14ac:dyDescent="0.2">
      <c r="C381"/>
      <c r="J381"/>
      <c r="N381"/>
    </row>
    <row r="382" spans="3:14" x14ac:dyDescent="0.2">
      <c r="C382"/>
      <c r="J382"/>
      <c r="N382"/>
    </row>
    <row r="383" spans="3:14" x14ac:dyDescent="0.2">
      <c r="C383"/>
      <c r="J383"/>
      <c r="N383"/>
    </row>
    <row r="384" spans="3:14" x14ac:dyDescent="0.2">
      <c r="C384"/>
      <c r="J384"/>
      <c r="N384"/>
    </row>
    <row r="385" spans="3:14" x14ac:dyDescent="0.2">
      <c r="C385"/>
      <c r="J385"/>
      <c r="N385"/>
    </row>
    <row r="386" spans="3:14" x14ac:dyDescent="0.2">
      <c r="C386"/>
      <c r="J386"/>
      <c r="N386"/>
    </row>
    <row r="387" spans="3:14" x14ac:dyDescent="0.2">
      <c r="C387"/>
      <c r="J387"/>
      <c r="N387"/>
    </row>
    <row r="388" spans="3:14" x14ac:dyDescent="0.2">
      <c r="C388"/>
      <c r="J388"/>
      <c r="N388"/>
    </row>
    <row r="389" spans="3:14" x14ac:dyDescent="0.2">
      <c r="C389"/>
      <c r="J389"/>
      <c r="N389"/>
    </row>
    <row r="390" spans="3:14" x14ac:dyDescent="0.2">
      <c r="C390"/>
      <c r="J390"/>
      <c r="N390"/>
    </row>
    <row r="391" spans="3:14" x14ac:dyDescent="0.2">
      <c r="C391"/>
      <c r="J391"/>
      <c r="N391"/>
    </row>
    <row r="392" spans="3:14" x14ac:dyDescent="0.2">
      <c r="C392"/>
      <c r="J392"/>
      <c r="N392"/>
    </row>
    <row r="393" spans="3:14" x14ac:dyDescent="0.2">
      <c r="C393"/>
      <c r="J393"/>
      <c r="N393"/>
    </row>
    <row r="394" spans="3:14" x14ac:dyDescent="0.2">
      <c r="C394"/>
      <c r="J394"/>
      <c r="N394"/>
    </row>
    <row r="395" spans="3:14" x14ac:dyDescent="0.2">
      <c r="C395"/>
      <c r="J395"/>
      <c r="N395"/>
    </row>
    <row r="396" spans="3:14" x14ac:dyDescent="0.2">
      <c r="C396"/>
      <c r="J396"/>
      <c r="N396"/>
    </row>
    <row r="397" spans="3:14" x14ac:dyDescent="0.2">
      <c r="C397"/>
      <c r="J397"/>
      <c r="N397"/>
    </row>
    <row r="398" spans="3:14" x14ac:dyDescent="0.2">
      <c r="C398"/>
      <c r="J398"/>
      <c r="N398"/>
    </row>
    <row r="399" spans="3:14" x14ac:dyDescent="0.2">
      <c r="C399"/>
      <c r="J399"/>
      <c r="N399"/>
    </row>
    <row r="400" spans="3:14" x14ac:dyDescent="0.2">
      <c r="C400"/>
      <c r="J400"/>
      <c r="N400"/>
    </row>
    <row r="401" spans="3:14" x14ac:dyDescent="0.2">
      <c r="C401"/>
      <c r="J401"/>
      <c r="N401"/>
    </row>
    <row r="402" spans="3:14" x14ac:dyDescent="0.2">
      <c r="C402"/>
      <c r="J402"/>
      <c r="N402"/>
    </row>
    <row r="403" spans="3:14" x14ac:dyDescent="0.2">
      <c r="C403"/>
      <c r="J403"/>
      <c r="N403"/>
    </row>
    <row r="404" spans="3:14" x14ac:dyDescent="0.2">
      <c r="C404"/>
      <c r="J404"/>
      <c r="N404"/>
    </row>
    <row r="405" spans="3:14" x14ac:dyDescent="0.2">
      <c r="C405"/>
      <c r="J405"/>
      <c r="N405"/>
    </row>
    <row r="406" spans="3:14" x14ac:dyDescent="0.2">
      <c r="C406"/>
      <c r="J406"/>
      <c r="N406"/>
    </row>
    <row r="407" spans="3:14" x14ac:dyDescent="0.2">
      <c r="C407"/>
      <c r="J407"/>
      <c r="N407"/>
    </row>
    <row r="408" spans="3:14" x14ac:dyDescent="0.2">
      <c r="C408"/>
      <c r="J408"/>
      <c r="N408"/>
    </row>
    <row r="409" spans="3:14" x14ac:dyDescent="0.2">
      <c r="C409"/>
      <c r="J409"/>
      <c r="N409"/>
    </row>
    <row r="410" spans="3:14" x14ac:dyDescent="0.2">
      <c r="C410"/>
      <c r="J410"/>
      <c r="N410"/>
    </row>
    <row r="411" spans="3:14" x14ac:dyDescent="0.2">
      <c r="C411"/>
      <c r="J411"/>
      <c r="N411"/>
    </row>
    <row r="412" spans="3:14" x14ac:dyDescent="0.2">
      <c r="C412"/>
      <c r="J412"/>
      <c r="N412"/>
    </row>
    <row r="413" spans="3:14" x14ac:dyDescent="0.2">
      <c r="C413"/>
      <c r="J413"/>
      <c r="N413"/>
    </row>
    <row r="414" spans="3:14" x14ac:dyDescent="0.2">
      <c r="C414"/>
      <c r="J414"/>
      <c r="N414"/>
    </row>
    <row r="415" spans="3:14" x14ac:dyDescent="0.2">
      <c r="C415"/>
      <c r="J415"/>
      <c r="N415"/>
    </row>
    <row r="416" spans="3:14" x14ac:dyDescent="0.2">
      <c r="C416"/>
      <c r="J416"/>
      <c r="N416"/>
    </row>
    <row r="417" spans="3:14" x14ac:dyDescent="0.2">
      <c r="C417"/>
      <c r="J417"/>
      <c r="N417"/>
    </row>
    <row r="418" spans="3:14" x14ac:dyDescent="0.2">
      <c r="C418"/>
      <c r="J418"/>
      <c r="N418"/>
    </row>
    <row r="419" spans="3:14" x14ac:dyDescent="0.2">
      <c r="C419"/>
      <c r="J419"/>
      <c r="N419"/>
    </row>
    <row r="420" spans="3:14" x14ac:dyDescent="0.2">
      <c r="C420"/>
      <c r="J420"/>
      <c r="N420"/>
    </row>
    <row r="421" spans="3:14" x14ac:dyDescent="0.2">
      <c r="C421"/>
      <c r="J421"/>
      <c r="N421"/>
    </row>
    <row r="422" spans="3:14" x14ac:dyDescent="0.2">
      <c r="C422"/>
      <c r="J422"/>
      <c r="N422"/>
    </row>
    <row r="423" spans="3:14" x14ac:dyDescent="0.2">
      <c r="C423"/>
      <c r="J423"/>
      <c r="N423"/>
    </row>
    <row r="424" spans="3:14" x14ac:dyDescent="0.2">
      <c r="C424"/>
      <c r="J424"/>
      <c r="N424"/>
    </row>
    <row r="425" spans="3:14" x14ac:dyDescent="0.2">
      <c r="C425"/>
      <c r="J425"/>
      <c r="N425"/>
    </row>
    <row r="426" spans="3:14" x14ac:dyDescent="0.2">
      <c r="C426"/>
      <c r="J426"/>
      <c r="N426"/>
    </row>
    <row r="427" spans="3:14" x14ac:dyDescent="0.2">
      <c r="C427"/>
      <c r="J427"/>
      <c r="N427"/>
    </row>
    <row r="428" spans="3:14" x14ac:dyDescent="0.2">
      <c r="C428"/>
      <c r="J428"/>
      <c r="N428"/>
    </row>
    <row r="429" spans="3:14" x14ac:dyDescent="0.2">
      <c r="C429"/>
      <c r="J429"/>
      <c r="N429"/>
    </row>
    <row r="430" spans="3:14" x14ac:dyDescent="0.2">
      <c r="C430"/>
      <c r="J430"/>
      <c r="N430"/>
    </row>
    <row r="431" spans="3:14" x14ac:dyDescent="0.2">
      <c r="C431"/>
      <c r="J431"/>
      <c r="N431"/>
    </row>
    <row r="432" spans="3:14" x14ac:dyDescent="0.2">
      <c r="C432"/>
      <c r="J432"/>
      <c r="N432"/>
    </row>
    <row r="433" spans="3:14" x14ac:dyDescent="0.2">
      <c r="C433"/>
      <c r="J433"/>
      <c r="N433"/>
    </row>
    <row r="434" spans="3:14" x14ac:dyDescent="0.2">
      <c r="C434"/>
      <c r="J434"/>
      <c r="N434"/>
    </row>
    <row r="435" spans="3:14" x14ac:dyDescent="0.2">
      <c r="C435"/>
      <c r="J435"/>
      <c r="N435"/>
    </row>
    <row r="436" spans="3:14" x14ac:dyDescent="0.2">
      <c r="C436"/>
      <c r="J436"/>
      <c r="N436"/>
    </row>
    <row r="437" spans="3:14" x14ac:dyDescent="0.2">
      <c r="C437"/>
      <c r="J437"/>
      <c r="N437"/>
    </row>
    <row r="438" spans="3:14" x14ac:dyDescent="0.2">
      <c r="C438"/>
      <c r="J438"/>
      <c r="N438"/>
    </row>
    <row r="439" spans="3:14" x14ac:dyDescent="0.2">
      <c r="C439"/>
      <c r="J439"/>
      <c r="N439"/>
    </row>
    <row r="440" spans="3:14" x14ac:dyDescent="0.2">
      <c r="C440"/>
      <c r="J440"/>
      <c r="N440"/>
    </row>
    <row r="441" spans="3:14" x14ac:dyDescent="0.2">
      <c r="C441"/>
      <c r="J441"/>
      <c r="N441"/>
    </row>
    <row r="442" spans="3:14" x14ac:dyDescent="0.2">
      <c r="C442"/>
      <c r="J442"/>
      <c r="N442"/>
    </row>
    <row r="443" spans="3:14" x14ac:dyDescent="0.2">
      <c r="C443"/>
      <c r="J443"/>
      <c r="N443"/>
    </row>
    <row r="444" spans="3:14" x14ac:dyDescent="0.2">
      <c r="C444"/>
      <c r="J444"/>
      <c r="N444"/>
    </row>
    <row r="445" spans="3:14" x14ac:dyDescent="0.2">
      <c r="C445"/>
      <c r="J445"/>
      <c r="N445"/>
    </row>
    <row r="446" spans="3:14" x14ac:dyDescent="0.2">
      <c r="C446"/>
      <c r="J446"/>
    </row>
    <row r="447" spans="3:14" x14ac:dyDescent="0.2">
      <c r="C447"/>
      <c r="J447"/>
    </row>
    <row r="448" spans="3:14" x14ac:dyDescent="0.2">
      <c r="C448"/>
      <c r="J448"/>
    </row>
    <row r="449" spans="3:10" x14ac:dyDescent="0.2">
      <c r="C449"/>
      <c r="J449"/>
    </row>
    <row r="450" spans="3:10" x14ac:dyDescent="0.2">
      <c r="C450"/>
      <c r="J450"/>
    </row>
    <row r="451" spans="3:10" x14ac:dyDescent="0.2">
      <c r="C451"/>
      <c r="J451"/>
    </row>
    <row r="452" spans="3:10" x14ac:dyDescent="0.2">
      <c r="C452"/>
      <c r="J452"/>
    </row>
    <row r="453" spans="3:10" x14ac:dyDescent="0.2">
      <c r="C453"/>
      <c r="J453"/>
    </row>
    <row r="454" spans="3:10" x14ac:dyDescent="0.2">
      <c r="C454"/>
      <c r="J454"/>
    </row>
    <row r="455" spans="3:10" x14ac:dyDescent="0.2">
      <c r="C455"/>
      <c r="J455"/>
    </row>
    <row r="456" spans="3:10" x14ac:dyDescent="0.2">
      <c r="C456"/>
      <c r="J456"/>
    </row>
    <row r="457" spans="3:10" x14ac:dyDescent="0.2">
      <c r="C457"/>
      <c r="J457"/>
    </row>
    <row r="458" spans="3:10" x14ac:dyDescent="0.2">
      <c r="C458"/>
      <c r="J458"/>
    </row>
    <row r="459" spans="3:10" x14ac:dyDescent="0.2">
      <c r="C459"/>
      <c r="J459"/>
    </row>
    <row r="460" spans="3:10" x14ac:dyDescent="0.2">
      <c r="C460"/>
      <c r="J460"/>
    </row>
    <row r="461" spans="3:10" x14ac:dyDescent="0.2">
      <c r="C461"/>
      <c r="J461"/>
    </row>
    <row r="462" spans="3:10" x14ac:dyDescent="0.2">
      <c r="C462"/>
      <c r="J462"/>
    </row>
    <row r="463" spans="3:10" x14ac:dyDescent="0.2">
      <c r="C463"/>
      <c r="J463"/>
    </row>
    <row r="464" spans="3:10" x14ac:dyDescent="0.2">
      <c r="C464"/>
      <c r="J464"/>
    </row>
    <row r="465" spans="3:10" x14ac:dyDescent="0.2">
      <c r="C465"/>
      <c r="J465"/>
    </row>
    <row r="466" spans="3:10" x14ac:dyDescent="0.2">
      <c r="C466"/>
      <c r="J466"/>
    </row>
    <row r="467" spans="3:10" x14ac:dyDescent="0.2">
      <c r="C467"/>
      <c r="J467"/>
    </row>
    <row r="468" spans="3:10" x14ac:dyDescent="0.2">
      <c r="C468"/>
      <c r="J468"/>
    </row>
    <row r="469" spans="3:10" x14ac:dyDescent="0.2">
      <c r="C469"/>
      <c r="J469"/>
    </row>
    <row r="470" spans="3:10" x14ac:dyDescent="0.2">
      <c r="C470"/>
      <c r="J470"/>
    </row>
    <row r="471" spans="3:10" x14ac:dyDescent="0.2">
      <c r="C471"/>
      <c r="J471"/>
    </row>
    <row r="472" spans="3:10" x14ac:dyDescent="0.2">
      <c r="C472"/>
      <c r="J472"/>
    </row>
    <row r="473" spans="3:10" x14ac:dyDescent="0.2">
      <c r="C473"/>
      <c r="J473"/>
    </row>
    <row r="474" spans="3:10" x14ac:dyDescent="0.2">
      <c r="C474"/>
      <c r="J474"/>
    </row>
    <row r="475" spans="3:10" x14ac:dyDescent="0.2">
      <c r="C475"/>
      <c r="J475"/>
    </row>
    <row r="476" spans="3:10" x14ac:dyDescent="0.2">
      <c r="C476"/>
      <c r="J476"/>
    </row>
    <row r="477" spans="3:10" x14ac:dyDescent="0.2">
      <c r="C477"/>
      <c r="J477"/>
    </row>
    <row r="478" spans="3:10" x14ac:dyDescent="0.2">
      <c r="C478"/>
      <c r="J478"/>
    </row>
    <row r="479" spans="3:10" x14ac:dyDescent="0.2">
      <c r="C479"/>
      <c r="J479"/>
    </row>
    <row r="480" spans="3:10" x14ac:dyDescent="0.2">
      <c r="C480"/>
      <c r="J480"/>
    </row>
    <row r="481" spans="3:10" x14ac:dyDescent="0.2">
      <c r="C481"/>
      <c r="J481"/>
    </row>
    <row r="482" spans="3:10" x14ac:dyDescent="0.2">
      <c r="C482"/>
      <c r="J482"/>
    </row>
    <row r="483" spans="3:10" x14ac:dyDescent="0.2">
      <c r="C483"/>
      <c r="J483"/>
    </row>
    <row r="484" spans="3:10" x14ac:dyDescent="0.2">
      <c r="C484"/>
      <c r="J484"/>
    </row>
    <row r="485" spans="3:10" x14ac:dyDescent="0.2">
      <c r="C485"/>
      <c r="J485"/>
    </row>
    <row r="486" spans="3:10" x14ac:dyDescent="0.2">
      <c r="C486"/>
      <c r="J486"/>
    </row>
    <row r="487" spans="3:10" x14ac:dyDescent="0.2">
      <c r="C487"/>
      <c r="J487"/>
    </row>
    <row r="488" spans="3:10" x14ac:dyDescent="0.2">
      <c r="C488"/>
      <c r="J488"/>
    </row>
    <row r="489" spans="3:10" x14ac:dyDescent="0.2">
      <c r="C489"/>
      <c r="J489"/>
    </row>
    <row r="490" spans="3:10" x14ac:dyDescent="0.2">
      <c r="C490"/>
      <c r="J490"/>
    </row>
    <row r="491" spans="3:10" x14ac:dyDescent="0.2">
      <c r="C491"/>
      <c r="J491"/>
    </row>
    <row r="492" spans="3:10" x14ac:dyDescent="0.2">
      <c r="C492"/>
      <c r="J492"/>
    </row>
    <row r="493" spans="3:10" x14ac:dyDescent="0.2">
      <c r="C493"/>
      <c r="J493"/>
    </row>
  </sheetData>
  <sortState xmlns:xlrd2="http://schemas.microsoft.com/office/spreadsheetml/2017/richdata2" ref="A2:K199">
    <sortCondition ref="A2:A199"/>
  </sortState>
  <phoneticPr fontId="1" type="noConversion"/>
  <dataValidations count="3">
    <dataValidation type="list" allowBlank="1" showInputMessage="1" showErrorMessage="1" sqref="I2:I13 I15:I71" xr:uid="{00000000-0002-0000-0100-000000000000}">
      <formula1>$V$13:$V$15</formula1>
    </dataValidation>
    <dataValidation type="list" allowBlank="1" showInputMessage="1" showErrorMessage="1" sqref="D2:F71" xr:uid="{00000000-0002-0000-0100-000001000000}">
      <formula1>$V$2:$V$8</formula1>
    </dataValidation>
    <dataValidation type="list" allowBlank="1" showInputMessage="1" showErrorMessage="1" sqref="K2:K71" xr:uid="{00000000-0002-0000-0100-000002000000}">
      <formula1>$V$10:$V$11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cket">
                <anchor moveWithCells="1" sizeWithCells="1">
                  <from>
                    <xdr:col>22</xdr:col>
                    <xdr:colOff>0</xdr:colOff>
                    <xdr:row>7</xdr:row>
                    <xdr:rowOff>25400</xdr:rowOff>
                  </from>
                  <to>
                    <xdr:col>24</xdr:col>
                    <xdr:colOff>520700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eniority">
                <anchor moveWithCells="1" sizeWithCells="1">
                  <from>
                    <xdr:col>22</xdr:col>
                    <xdr:colOff>0</xdr:colOff>
                    <xdr:row>1</xdr:row>
                    <xdr:rowOff>38100</xdr:rowOff>
                  </from>
                  <to>
                    <xdr:col>24</xdr:col>
                    <xdr:colOff>482600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baseColWidth="10" defaultColWidth="11.5" defaultRowHeight="15" x14ac:dyDescent="0.2"/>
  <sheetData>
    <row r="1" spans="1:1" x14ac:dyDescent="0.2">
      <c r="A1" t="e">
        <f ca="1">LARGE(BUCKET!L2:L70,1)</f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BUCKET</vt:lpstr>
      <vt:lpstr>10-6</vt:lpstr>
    </vt:vector>
  </TitlesOfParts>
  <Company>New Mexico Children, Youth &amp; Families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CYFD</dc:creator>
  <cp:lastModifiedBy>NICHOLAS JOJOLA</cp:lastModifiedBy>
  <dcterms:created xsi:type="dcterms:W3CDTF">2020-12-22T00:29:55Z</dcterms:created>
  <dcterms:modified xsi:type="dcterms:W3CDTF">2025-09-11T22:55:28Z</dcterms:modified>
</cp:coreProperties>
</file>